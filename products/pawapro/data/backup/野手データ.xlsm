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pawapro\data\"/>
    </mc:Choice>
  </mc:AlternateContent>
  <bookViews>
    <workbookView xWindow="0" yWindow="0" windowWidth="21570" windowHeight="8175" activeTab="2"/>
  </bookViews>
  <sheets>
    <sheet name="野手基礎能力" sheetId="2" r:id="rId1"/>
    <sheet name="BATTER_ABILITY_DETAIL" sheetId="12" r:id="rId2"/>
    <sheet name="BATTER_ABILITY_HEADER" sheetId="15" r:id="rId3"/>
    <sheet name="サブポジ" sheetId="14" r:id="rId4"/>
    <sheet name="弾道" sheetId="9" r:id="rId5"/>
    <sheet name="ミート" sheetId="5" r:id="rId6"/>
    <sheet name="パワー" sheetId="6" r:id="rId7"/>
    <sheet name="走力" sheetId="7" r:id="rId8"/>
    <sheet name="肩力" sheetId="8" r:id="rId9"/>
    <sheet name="守力" sheetId="10" r:id="rId10"/>
    <sheet name="捕球" sheetId="11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3" i="15" l="1"/>
  <c r="D42" i="15" l="1"/>
  <c r="D41" i="15"/>
  <c r="D39" i="15"/>
  <c r="D62" i="15" l="1"/>
  <c r="D61" i="15"/>
  <c r="D60" i="15"/>
  <c r="I62" i="12"/>
  <c r="I61" i="12"/>
  <c r="H100" i="12"/>
  <c r="H101" i="12"/>
  <c r="I59" i="12" l="1"/>
  <c r="I22" i="12"/>
  <c r="D59" i="15" l="1"/>
  <c r="D58" i="15"/>
  <c r="I37" i="12"/>
  <c r="H99" i="12"/>
  <c r="H97" i="12"/>
  <c r="H96" i="12"/>
  <c r="I19" i="12" l="1"/>
  <c r="H95" i="12"/>
  <c r="D57" i="15" l="1"/>
  <c r="D56" i="15"/>
  <c r="I58" i="12"/>
  <c r="H59" i="12"/>
  <c r="I49" i="12"/>
  <c r="H94" i="12"/>
  <c r="D55" i="15" l="1"/>
  <c r="D54" i="15"/>
  <c r="D53" i="15"/>
  <c r="I52" i="12" l="1"/>
  <c r="H92" i="12"/>
  <c r="D52" i="15"/>
  <c r="I53" i="12" l="1"/>
  <c r="I39" i="12"/>
  <c r="I36" i="12"/>
  <c r="H87" i="12"/>
  <c r="H89" i="12"/>
  <c r="H90" i="12"/>
  <c r="H91" i="12"/>
  <c r="D51" i="15" l="1"/>
  <c r="D44" i="15"/>
  <c r="D50" i="15"/>
  <c r="D27" i="15"/>
  <c r="D49" i="15"/>
  <c r="D11" i="15"/>
  <c r="D48" i="15"/>
  <c r="D47" i="15" l="1"/>
  <c r="I35" i="12" l="1"/>
  <c r="H82" i="12" l="1"/>
  <c r="D37" i="15" l="1"/>
  <c r="D38" i="15"/>
  <c r="G2" i="9" l="1"/>
  <c r="D40" i="15" l="1"/>
  <c r="D46" i="15" l="1"/>
  <c r="D45" i="15"/>
  <c r="D29" i="15"/>
  <c r="D9" i="15"/>
  <c r="D8" i="15"/>
  <c r="D7" i="15"/>
  <c r="D6" i="15"/>
  <c r="D5" i="15"/>
  <c r="D4" i="15"/>
  <c r="D3" i="15"/>
  <c r="D2" i="15"/>
  <c r="I115" i="12"/>
  <c r="H114" i="12"/>
  <c r="I113" i="12"/>
  <c r="H112" i="12"/>
  <c r="I111" i="12"/>
  <c r="H110" i="12"/>
  <c r="I109" i="12"/>
  <c r="H108" i="12"/>
  <c r="I107" i="12"/>
  <c r="H106" i="12"/>
  <c r="I105" i="12"/>
  <c r="H104" i="12"/>
  <c r="I103" i="12"/>
  <c r="H102" i="12"/>
  <c r="D43" i="15" l="1"/>
  <c r="D30" i="15"/>
  <c r="D31" i="15"/>
  <c r="D32" i="15"/>
  <c r="D33" i="15"/>
  <c r="D34" i="15"/>
  <c r="D35" i="15"/>
  <c r="D36" i="15"/>
  <c r="D28" i="15"/>
  <c r="D20" i="15"/>
  <c r="D21" i="15"/>
  <c r="D22" i="15"/>
  <c r="D23" i="15"/>
  <c r="D24" i="15"/>
  <c r="D25" i="15"/>
  <c r="D26" i="15"/>
  <c r="D19" i="15"/>
  <c r="D13" i="15"/>
  <c r="D14" i="15"/>
  <c r="D15" i="15"/>
  <c r="D16" i="15"/>
  <c r="D17" i="15"/>
  <c r="D18" i="15"/>
  <c r="D12" i="15"/>
  <c r="D10" i="15"/>
  <c r="I25" i="12" l="1"/>
  <c r="H74" i="12"/>
  <c r="G3" i="11" l="1"/>
  <c r="G4" i="11"/>
  <c r="G5" i="11"/>
  <c r="G6" i="11"/>
  <c r="G7" i="11"/>
  <c r="G8" i="11"/>
  <c r="G9" i="11"/>
  <c r="G10" i="11"/>
  <c r="G11" i="11"/>
  <c r="G12" i="11"/>
  <c r="G2" i="11"/>
  <c r="G3" i="10"/>
  <c r="G4" i="10"/>
  <c r="G5" i="10"/>
  <c r="G6" i="10"/>
  <c r="G7" i="10"/>
  <c r="G8" i="10"/>
  <c r="G9" i="10"/>
  <c r="G10" i="10"/>
  <c r="G11" i="10"/>
  <c r="G2" i="10"/>
  <c r="G3" i="8"/>
  <c r="G4" i="8"/>
  <c r="G5" i="8"/>
  <c r="G6" i="8"/>
  <c r="G7" i="8"/>
  <c r="G8" i="8"/>
  <c r="G9" i="8"/>
  <c r="G10" i="8"/>
  <c r="G11" i="8"/>
  <c r="G2" i="8"/>
  <c r="G3" i="7"/>
  <c r="G4" i="7"/>
  <c r="G5" i="7"/>
  <c r="G6" i="7"/>
  <c r="G7" i="7"/>
  <c r="G8" i="7"/>
  <c r="G9" i="7"/>
  <c r="G10" i="7"/>
  <c r="G11" i="7"/>
  <c r="G2" i="7"/>
  <c r="G3" i="6"/>
  <c r="G4" i="6"/>
  <c r="G5" i="6"/>
  <c r="G6" i="6"/>
  <c r="G7" i="6"/>
  <c r="G8" i="6"/>
  <c r="G9" i="6"/>
  <c r="G10" i="6"/>
  <c r="G11" i="6"/>
  <c r="G2" i="6"/>
  <c r="G3" i="5"/>
  <c r="G4" i="5"/>
  <c r="G5" i="5"/>
  <c r="G6" i="5"/>
  <c r="G7" i="5"/>
  <c r="G8" i="5"/>
  <c r="G9" i="5"/>
  <c r="G10" i="5"/>
  <c r="G11" i="5"/>
  <c r="G2" i="5"/>
  <c r="F3" i="9"/>
  <c r="G3" i="9"/>
  <c r="F4" i="9"/>
  <c r="G4" i="9"/>
  <c r="I33" i="12" l="1"/>
  <c r="H80" i="12"/>
  <c r="I11" i="12" l="1"/>
  <c r="H68" i="12" l="1"/>
  <c r="I26" i="12" l="1"/>
  <c r="H85" i="12"/>
  <c r="H84" i="12"/>
  <c r="H81" i="12"/>
  <c r="H83" i="12"/>
  <c r="H78" i="12"/>
  <c r="H79" i="12"/>
  <c r="H77" i="12"/>
  <c r="H76" i="12"/>
  <c r="H75" i="12"/>
  <c r="H72" i="12"/>
  <c r="H73" i="12"/>
  <c r="H71" i="12"/>
  <c r="H70" i="12"/>
  <c r="H3" i="12"/>
  <c r="H5" i="12"/>
  <c r="H67" i="12"/>
  <c r="H69" i="12"/>
  <c r="H66" i="12"/>
  <c r="H65" i="12"/>
  <c r="H64" i="12"/>
  <c r="H27" i="12"/>
  <c r="H15" i="12"/>
  <c r="H13" i="12"/>
  <c r="H11" i="12"/>
  <c r="H9" i="12"/>
  <c r="H7" i="12"/>
  <c r="I44" i="12"/>
  <c r="I42" i="12"/>
  <c r="I41" i="12"/>
  <c r="I34" i="12"/>
  <c r="I30" i="12"/>
  <c r="I31" i="12"/>
  <c r="I32" i="12"/>
  <c r="I29" i="12"/>
  <c r="I28" i="12"/>
  <c r="I21" i="12"/>
  <c r="I17" i="12"/>
  <c r="I16" i="12"/>
  <c r="I15" i="12"/>
  <c r="I14" i="12"/>
  <c r="I9" i="12"/>
  <c r="I7" i="12"/>
  <c r="I5" i="12"/>
  <c r="I13" i="12"/>
  <c r="I12" i="12"/>
  <c r="I10" i="12"/>
  <c r="I8" i="12"/>
  <c r="I4" i="12"/>
  <c r="I6" i="12"/>
  <c r="I3" i="12"/>
  <c r="I2" i="12"/>
  <c r="A12" i="10" l="1"/>
  <c r="B12" i="10"/>
  <c r="C12" i="10"/>
  <c r="D12" i="10"/>
  <c r="E12" i="10"/>
  <c r="F12" i="10"/>
  <c r="A12" i="8"/>
  <c r="B12" i="8"/>
  <c r="C12" i="8"/>
  <c r="D12" i="8"/>
  <c r="E12" i="8"/>
  <c r="F12" i="8"/>
  <c r="A12" i="7"/>
  <c r="B12" i="7"/>
  <c r="C12" i="7"/>
  <c r="D12" i="7"/>
  <c r="E12" i="7"/>
  <c r="F12" i="7"/>
  <c r="A12" i="6"/>
  <c r="B12" i="6"/>
  <c r="C12" i="6"/>
  <c r="D12" i="6"/>
  <c r="E12" i="6"/>
  <c r="F12" i="6"/>
  <c r="A12" i="5"/>
  <c r="B12" i="5"/>
  <c r="C12" i="5"/>
  <c r="D12" i="5"/>
  <c r="E12" i="5"/>
  <c r="F12" i="5"/>
  <c r="A12" i="11"/>
  <c r="B12" i="11"/>
  <c r="C12" i="11"/>
  <c r="D12" i="11"/>
  <c r="E12" i="11"/>
  <c r="F12" i="11"/>
  <c r="A3" i="11" l="1"/>
  <c r="B3" i="11"/>
  <c r="C3" i="11"/>
  <c r="D3" i="11"/>
  <c r="E3" i="11"/>
  <c r="F3" i="11"/>
  <c r="A4" i="11"/>
  <c r="B4" i="11"/>
  <c r="C4" i="11"/>
  <c r="D4" i="11"/>
  <c r="E4" i="11"/>
  <c r="F4" i="11"/>
  <c r="A5" i="11"/>
  <c r="B5" i="11"/>
  <c r="C5" i="11"/>
  <c r="D5" i="11"/>
  <c r="E5" i="11"/>
  <c r="F5" i="1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B2" i="11"/>
  <c r="C2" i="11"/>
  <c r="D2" i="11"/>
  <c r="E2" i="11"/>
  <c r="F2" i="11"/>
  <c r="A2" i="11"/>
  <c r="A3" i="10"/>
  <c r="B3" i="10"/>
  <c r="C3" i="10"/>
  <c r="D3" i="10"/>
  <c r="E3" i="10"/>
  <c r="F3" i="10"/>
  <c r="A4" i="10"/>
  <c r="B4" i="10"/>
  <c r="C4" i="10"/>
  <c r="D4" i="10"/>
  <c r="E4" i="10"/>
  <c r="F4" i="10"/>
  <c r="A5" i="10"/>
  <c r="B5" i="10"/>
  <c r="C5" i="10"/>
  <c r="D5" i="10"/>
  <c r="E5" i="10"/>
  <c r="F5" i="10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B2" i="10"/>
  <c r="C2" i="10"/>
  <c r="D2" i="10"/>
  <c r="E2" i="10"/>
  <c r="F2" i="10"/>
  <c r="A2" i="10"/>
  <c r="A3" i="8"/>
  <c r="B3" i="8"/>
  <c r="C3" i="8"/>
  <c r="D3" i="8"/>
  <c r="E3" i="8"/>
  <c r="F3" i="8"/>
  <c r="A4" i="8"/>
  <c r="B4" i="8"/>
  <c r="C4" i="8"/>
  <c r="D4" i="8"/>
  <c r="E4" i="8"/>
  <c r="F4" i="8"/>
  <c r="A5" i="8"/>
  <c r="B5" i="8"/>
  <c r="C5" i="8"/>
  <c r="D5" i="8"/>
  <c r="E5" i="8"/>
  <c r="F5" i="8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B2" i="8"/>
  <c r="C2" i="8"/>
  <c r="D2" i="8"/>
  <c r="E2" i="8"/>
  <c r="F2" i="8"/>
  <c r="A2" i="8"/>
  <c r="A3" i="9"/>
  <c r="B3" i="9"/>
  <c r="C3" i="9"/>
  <c r="D3" i="9"/>
  <c r="E3" i="9"/>
  <c r="A4" i="9"/>
  <c r="B4" i="9"/>
  <c r="C4" i="9"/>
  <c r="D4" i="9"/>
  <c r="E4" i="9"/>
  <c r="B2" i="9"/>
  <c r="C2" i="9"/>
  <c r="D2" i="9"/>
  <c r="E2" i="9"/>
  <c r="F2" i="9"/>
  <c r="A2" i="9"/>
  <c r="A3" i="7"/>
  <c r="B3" i="7"/>
  <c r="C3" i="7"/>
  <c r="D3" i="7"/>
  <c r="E3" i="7"/>
  <c r="F3" i="7"/>
  <c r="A4" i="7"/>
  <c r="B4" i="7"/>
  <c r="C4" i="7"/>
  <c r="D4" i="7"/>
  <c r="E4" i="7"/>
  <c r="F4" i="7"/>
  <c r="A5" i="7"/>
  <c r="B5" i="7"/>
  <c r="C5" i="7"/>
  <c r="D5" i="7"/>
  <c r="E5" i="7"/>
  <c r="F5" i="7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B2" i="7"/>
  <c r="C2" i="7"/>
  <c r="D2" i="7"/>
  <c r="E2" i="7"/>
  <c r="F2" i="7"/>
  <c r="A2" i="7"/>
  <c r="A3" i="6"/>
  <c r="B3" i="6"/>
  <c r="C3" i="6"/>
  <c r="D3" i="6"/>
  <c r="E3" i="6"/>
  <c r="F3" i="6"/>
  <c r="A4" i="6"/>
  <c r="B4" i="6"/>
  <c r="C4" i="6"/>
  <c r="D4" i="6"/>
  <c r="E4" i="6"/>
  <c r="F4" i="6"/>
  <c r="A5" i="6"/>
  <c r="B5" i="6"/>
  <c r="C5" i="6"/>
  <c r="D5" i="6"/>
  <c r="E5" i="6"/>
  <c r="F5" i="6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B2" i="6"/>
  <c r="C2" i="6"/>
  <c r="D2" i="6"/>
  <c r="E2" i="6"/>
  <c r="F2" i="6"/>
  <c r="A2" i="6"/>
  <c r="F2" i="5"/>
  <c r="F3" i="5"/>
  <c r="F4" i="5"/>
  <c r="F5" i="5"/>
  <c r="F6" i="5"/>
  <c r="F7" i="5"/>
  <c r="F8" i="5"/>
  <c r="F9" i="5"/>
  <c r="F10" i="5"/>
  <c r="F11" i="5"/>
  <c r="E2" i="5"/>
  <c r="E3" i="5"/>
  <c r="E4" i="5"/>
  <c r="E5" i="5"/>
  <c r="E6" i="5"/>
  <c r="E7" i="5"/>
  <c r="E8" i="5"/>
  <c r="E9" i="5"/>
  <c r="E10" i="5"/>
  <c r="E11" i="5"/>
  <c r="B2" i="5"/>
  <c r="C2" i="5"/>
  <c r="D2" i="5"/>
  <c r="B3" i="5"/>
  <c r="C3" i="5"/>
  <c r="D3" i="5"/>
  <c r="B4" i="5"/>
  <c r="C4" i="5"/>
  <c r="D4" i="5"/>
  <c r="B5" i="5"/>
  <c r="C5" i="5"/>
  <c r="D5" i="5"/>
  <c r="B6" i="5"/>
  <c r="C6" i="5"/>
  <c r="D6" i="5"/>
  <c r="B7" i="5"/>
  <c r="C7" i="5"/>
  <c r="D7" i="5"/>
  <c r="B8" i="5"/>
  <c r="C8" i="5"/>
  <c r="D8" i="5"/>
  <c r="B9" i="5"/>
  <c r="C9" i="5"/>
  <c r="D9" i="5"/>
  <c r="B10" i="5"/>
  <c r="C10" i="5"/>
  <c r="D10" i="5"/>
  <c r="B11" i="5"/>
  <c r="C11" i="5"/>
  <c r="D11" i="5"/>
  <c r="A11" i="5"/>
  <c r="A9" i="5"/>
  <c r="A10" i="5"/>
  <c r="A4" i="5"/>
  <c r="A5" i="5"/>
  <c r="A6" i="5"/>
  <c r="A7" i="5"/>
  <c r="A8" i="5"/>
  <c r="A3" i="5"/>
  <c r="A2" i="5"/>
</calcChain>
</file>

<file path=xl/sharedStrings.xml><?xml version="1.0" encoding="utf-8"?>
<sst xmlns="http://schemas.openxmlformats.org/spreadsheetml/2006/main" count="479" uniqueCount="358">
  <si>
    <t>筋力</t>
    <rPh sb="0" eb="2">
      <t>キンリョク</t>
    </rPh>
    <phoneticPr fontId="1"/>
  </si>
  <si>
    <t>敏捷</t>
    <rPh sb="0" eb="2">
      <t>ビンショウ</t>
    </rPh>
    <phoneticPr fontId="1"/>
  </si>
  <si>
    <t>技術</t>
    <rPh sb="0" eb="2">
      <t>ギジュツ</t>
    </rPh>
    <phoneticPr fontId="1"/>
  </si>
  <si>
    <t>変化球</t>
    <rPh sb="0" eb="3">
      <t>ヘンカキュウ</t>
    </rPh>
    <phoneticPr fontId="1"/>
  </si>
  <si>
    <t>精神</t>
    <rPh sb="0" eb="2">
      <t>セイシン</t>
    </rPh>
    <phoneticPr fontId="1"/>
  </si>
  <si>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</si>
  <si>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</si>
  <si>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</si>
  <si>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</si>
  <si>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</si>
  <si>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</si>
  <si>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</si>
  <si>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</si>
  <si>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ブルヒッター</t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</si>
  <si>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</si>
  <si>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</si>
  <si>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</si>
  <si>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</si>
  <si>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</si>
  <si>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</si>
  <si>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</si>
  <si>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</si>
  <si>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</si>
  <si>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</si>
  <si>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</si>
  <si>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</si>
  <si>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S(91～99)</t>
    <phoneticPr fontId="1"/>
  </si>
  <si>
    <t>A(81～90)</t>
    <phoneticPr fontId="1"/>
  </si>
  <si>
    <t>B(71～80)</t>
    <phoneticPr fontId="1"/>
  </si>
  <si>
    <t>C(61～70)</t>
    <phoneticPr fontId="1"/>
  </si>
  <si>
    <t>D(51～60)</t>
    <phoneticPr fontId="1"/>
  </si>
  <si>
    <t>E(41～50)</t>
    <phoneticPr fontId="1"/>
  </si>
  <si>
    <t>F(31～40)</t>
    <phoneticPr fontId="1"/>
  </si>
  <si>
    <t>F(21～30)</t>
    <phoneticPr fontId="1"/>
  </si>
  <si>
    <t>G(11～20)</t>
    <phoneticPr fontId="1"/>
  </si>
  <si>
    <t>捕球</t>
    <rPh sb="0" eb="2">
      <t>ホキュウ</t>
    </rPh>
    <phoneticPr fontId="1"/>
  </si>
  <si>
    <t>S(91～99)</t>
    <phoneticPr fontId="1"/>
  </si>
  <si>
    <t>A(81～90)</t>
    <phoneticPr fontId="1"/>
  </si>
  <si>
    <t>B(71～80)</t>
    <phoneticPr fontId="1"/>
  </si>
  <si>
    <t>C(61～70)</t>
    <phoneticPr fontId="1"/>
  </si>
  <si>
    <t>D(51～60)</t>
    <phoneticPr fontId="1"/>
  </si>
  <si>
    <t>E(41～50)</t>
    <phoneticPr fontId="1"/>
  </si>
  <si>
    <t>F(31～40)</t>
    <phoneticPr fontId="1"/>
  </si>
  <si>
    <t>F(21～30)</t>
    <phoneticPr fontId="1"/>
  </si>
  <si>
    <t>G(11～20)</t>
    <phoneticPr fontId="1"/>
  </si>
  <si>
    <t>守力</t>
    <rPh sb="0" eb="1">
      <t>シュ</t>
    </rPh>
    <rPh sb="1" eb="2">
      <t>リョク</t>
    </rPh>
    <phoneticPr fontId="1"/>
  </si>
  <si>
    <t>肩力</t>
    <rPh sb="0" eb="1">
      <t>カタ</t>
    </rPh>
    <rPh sb="1" eb="2">
      <t>リョク</t>
    </rPh>
    <phoneticPr fontId="1"/>
  </si>
  <si>
    <t>走力</t>
    <rPh sb="0" eb="2">
      <t>ソウリョク</t>
    </rPh>
    <phoneticPr fontId="1"/>
  </si>
  <si>
    <t>S(91～99)</t>
    <phoneticPr fontId="1"/>
  </si>
  <si>
    <t>A(81～90)</t>
    <phoneticPr fontId="1"/>
  </si>
  <si>
    <t>B(71～80)</t>
    <phoneticPr fontId="1"/>
  </si>
  <si>
    <t>C(61～70)</t>
    <phoneticPr fontId="1"/>
  </si>
  <si>
    <t>D(51～60)</t>
    <phoneticPr fontId="1"/>
  </si>
  <si>
    <t>E(41～50)</t>
    <phoneticPr fontId="1"/>
  </si>
  <si>
    <t>F(31～40)</t>
    <phoneticPr fontId="1"/>
  </si>
  <si>
    <t>F(21～30)</t>
    <phoneticPr fontId="1"/>
  </si>
  <si>
    <t>G(11～20)</t>
    <phoneticPr fontId="1"/>
  </si>
  <si>
    <t>パワー</t>
    <phoneticPr fontId="1"/>
  </si>
  <si>
    <t>ミート</t>
    <phoneticPr fontId="1"/>
  </si>
  <si>
    <t>弾道</t>
    <rPh sb="0" eb="2">
      <t>ダンドウ</t>
    </rPh>
    <phoneticPr fontId="1"/>
  </si>
  <si>
    <t>技術　</t>
    <rPh sb="0" eb="2">
      <t>ギジュツ</t>
    </rPh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</si>
  <si>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</si>
  <si>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</si>
  <si>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</si>
  <si>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</si>
  <si>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</si>
  <si>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</si>
  <si>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</si>
  <si>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</si>
  <si>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</si>
  <si>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</si>
  <si>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</si>
  <si>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</si>
  <si>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</si>
  <si>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</si>
  <si>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</si>
  <si>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</si>
  <si>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</si>
  <si>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</si>
  <si>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</si>
  <si>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G(1～10)</t>
    <phoneticPr fontId="1"/>
  </si>
  <si>
    <t>G(1～10)</t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</si>
  <si>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</si>
  <si>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</si>
  <si>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</si>
  <si>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</si>
  <si>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</si>
  <si>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</si>
  <si>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S(100)</t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</si>
  <si>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</si>
  <si>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</si>
  <si>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</si>
  <si>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</si>
  <si>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</si>
  <si>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</si>
  <si>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</si>
  <si>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</si>
  <si>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</si>
  <si>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</si>
  <si>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</si>
  <si>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</si>
  <si>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</si>
  <si>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</si>
  <si>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</si>
  <si>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</si>
  <si>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</si>
  <si>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</si>
  <si>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</si>
  <si>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</si>
  <si>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</si>
  <si>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</si>
  <si>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</si>
  <si>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名前</t>
    <rPh sb="0" eb="2">
      <t>ナマエ</t>
    </rPh>
    <phoneticPr fontId="1"/>
  </si>
  <si>
    <t>id</t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</si>
  <si>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</si>
  <si>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</si>
  <si>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</si>
  <si>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</si>
  <si>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</si>
  <si>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</si>
  <si>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</si>
  <si>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</si>
  <si>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</si>
  <si>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査定</t>
    <rPh sb="0" eb="2">
      <t>サテイ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</si>
  <si>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</si>
  <si>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</si>
  <si>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</si>
  <si>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</si>
  <si>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</si>
  <si>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</si>
  <si>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</si>
  <si>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</si>
  <si>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</si>
  <si>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</si>
  <si>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</si>
  <si>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</si>
  <si>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</si>
  <si>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</si>
  <si>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</si>
  <si>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</si>
  <si>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</si>
  <si>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</si>
  <si>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</si>
  <si>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</si>
  <si>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</si>
  <si>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</si>
  <si>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</si>
  <si>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</si>
  <si>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</si>
  <si>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</si>
  <si>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</si>
  <si>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</si>
  <si>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</si>
  <si>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</si>
  <si>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</si>
  <si>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</si>
  <si>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</si>
  <si>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</si>
  <si>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</si>
  <si>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</si>
  <si>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</si>
  <si>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</si>
  <si>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</si>
  <si>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</si>
  <si>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</si>
  <si>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</si>
  <si>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</si>
  <si>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</si>
  <si>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</si>
  <si>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</si>
  <si>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</si>
  <si>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値</t>
    <rPh sb="0" eb="1">
      <t>アタイ</t>
    </rPh>
    <phoneticPr fontId="1"/>
  </si>
  <si>
    <t>査定</t>
    <rPh sb="0" eb="2">
      <t>サテイ</t>
    </rPh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</si>
  <si>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</si>
  <si>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</si>
  <si>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</si>
  <si>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</si>
  <si>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</si>
  <si>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</si>
  <si>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</si>
  <si>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S23</t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</si>
  <si>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</si>
  <si>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</si>
  <si>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</si>
  <si>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</si>
  <si>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</si>
  <si>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</si>
  <si>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</si>
  <si>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</si>
  <si>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ローボールヒッター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</si>
  <si>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</si>
  <si>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</si>
  <si>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</si>
  <si>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</si>
  <si>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</si>
  <si>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</si>
  <si>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</si>
  <si>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</si>
  <si>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</si>
  <si>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</si>
  <si>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</si>
  <si>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</si>
  <si>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</si>
  <si>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</si>
  <si>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</si>
  <si>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</si>
  <si>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</si>
  <si>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</si>
  <si>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</si>
  <si>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</si>
  <si>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</si>
  <si>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</si>
  <si>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</si>
  <si>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</si>
  <si>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</si>
  <si>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</si>
  <si>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</si>
  <si>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</si>
  <si>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</si>
  <si>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</si>
  <si>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</si>
  <si>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</si>
  <si>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BASE_ABILITY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</si>
  <si>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</si>
  <si>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</si>
  <si>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</si>
  <si>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</si>
  <si>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</si>
  <si>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</si>
  <si>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</si>
  <si>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</si>
  <si>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</si>
  <si>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</si>
  <si>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</si>
  <si>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</si>
  <si>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</si>
  <si>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</si>
  <si>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</si>
  <si>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</si>
  <si>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</si>
  <si>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</si>
  <si>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</si>
  <si>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</si>
  <si>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</si>
  <si>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</si>
  <si>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</si>
  <si>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</si>
  <si>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</si>
  <si>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</si>
  <si>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</si>
  <si>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</si>
  <si>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</si>
  <si>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</si>
  <si>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</si>
  <si>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</si>
  <si>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</si>
  <si>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</si>
  <si>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</si>
  <si>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</si>
  <si>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</si>
  <si>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</si>
  <si>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</si>
  <si>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</si>
  <si>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</si>
  <si>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</si>
  <si>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</si>
  <si>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</si>
  <si>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</si>
  <si>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</si>
  <si>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</si>
  <si>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</si>
  <si>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</si>
  <si>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</si>
  <si>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</si>
  <si>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</si>
  <si>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</si>
  <si>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</si>
  <si>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</si>
  <si>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</si>
  <si>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</si>
  <si>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</si>
  <si>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</si>
  <si>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</si>
  <si>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</si>
  <si>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</si>
  <si>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</si>
  <si>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</si>
  <si>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</si>
  <si>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</si>
  <si>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</si>
  <si>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</si>
  <si>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</si>
  <si>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</si>
  <si>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</si>
  <si>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</si>
  <si>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</si>
  <si>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</si>
  <si>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</si>
  <si>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</si>
  <si>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</si>
  <si>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</si>
  <si>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</si>
  <si>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</si>
  <si>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</si>
  <si>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</si>
  <si>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</si>
  <si>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</si>
  <si>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</si>
  <si>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</si>
  <si>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</si>
  <si>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</si>
  <si>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S015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</si>
  <si>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</si>
  <si>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</si>
  <si>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</si>
  <si>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</si>
  <si>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</si>
  <si>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</si>
  <si>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</si>
  <si>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</si>
  <si>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</si>
  <si>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</si>
  <si>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</si>
  <si>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</si>
  <si>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</si>
  <si>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</si>
  <si>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</si>
  <si>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</si>
  <si>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</si>
  <si>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</si>
  <si>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</si>
  <si>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</si>
  <si>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</si>
  <si>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</si>
  <si>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</si>
  <si>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B001</t>
    <phoneticPr fontId="1"/>
  </si>
  <si>
    <t>B002</t>
    <phoneticPr fontId="1"/>
  </si>
  <si>
    <t>B003</t>
  </si>
  <si>
    <t>B004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</si>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</sst>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666750</xdr:colOff>
          <xdr:row>0</xdr:row>
          <xdr:rowOff>9525</xdr:rowOff>
        </xdr:from>
        <xdr:to>
          <xdr:col>14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9525</xdr:rowOff>
        </xdr:from>
        <xdr:to>
          <xdr:col>14</xdr:col>
          <xdr:colOff>152400</xdr:colOff>
          <xdr:row>5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0</xdr:row>
          <xdr:rowOff>9525</xdr:rowOff>
        </xdr:from>
        <xdr:to>
          <xdr:col>9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3</xdr:row>
          <xdr:rowOff>9525</xdr:rowOff>
        </xdr:from>
        <xdr:to>
          <xdr:col>9</xdr:col>
          <xdr:colOff>219075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7"/>
  <sheetViews>
    <sheetView zoomScaleNormal="100" workbookViewId="0"/>
  </sheetViews>
  <sheetFormatPr defaultRowHeight="13.5" x14ac:dyDescent="0.15"/>
  <sheetData>
    <row r="1" spans="1:8" x14ac:dyDescent="0.15">
      <c r="C1" t="s">
        <v>0</v>
      </c>
      <c r="D1" t="s">
        <v>1</v>
      </c>
      <c r="E1" t="s">
        <v>60</v>
      </c>
      <c r="F1" t="s">
        <v>3</v>
      </c>
      <c r="G1" t="s">
        <v>4</v>
      </c>
      <c r="H1" t="s">
        <v>123</v>
      </c>
    </row>
    <row r="2" spans="1:8" x14ac:dyDescent="0.15">
      <c r="A2" t="s">
        <v>59</v>
      </c>
      <c r="B2">
        <v>2</v>
      </c>
      <c r="C2">
        <v>10</v>
      </c>
      <c r="D2">
        <v>0</v>
      </c>
      <c r="E2">
        <v>10</v>
      </c>
      <c r="F2">
        <v>0</v>
      </c>
      <c r="G2">
        <v>10</v>
      </c>
      <c r="H2">
        <v>0</v>
      </c>
    </row>
    <row r="3" spans="1:8" x14ac:dyDescent="0.15">
      <c r="B3">
        <v>3</v>
      </c>
      <c r="C3">
        <v>30</v>
      </c>
      <c r="D3">
        <v>0</v>
      </c>
      <c r="E3">
        <v>30</v>
      </c>
      <c r="F3">
        <v>0</v>
      </c>
      <c r="G3">
        <v>30</v>
      </c>
      <c r="H3">
        <v>42</v>
      </c>
    </row>
    <row r="4" spans="1:8" x14ac:dyDescent="0.15">
      <c r="B4">
        <v>4</v>
      </c>
      <c r="C4">
        <v>50</v>
      </c>
      <c r="D4">
        <v>0</v>
      </c>
      <c r="E4">
        <v>50</v>
      </c>
      <c r="F4">
        <v>0</v>
      </c>
      <c r="G4">
        <v>50</v>
      </c>
      <c r="H4">
        <v>14</v>
      </c>
    </row>
    <row r="5" spans="1:8" x14ac:dyDescent="0.15">
      <c r="A5" t="s">
        <v>58</v>
      </c>
      <c r="B5" t="s">
        <v>80</v>
      </c>
      <c r="C5">
        <v>1</v>
      </c>
      <c r="D5">
        <v>0</v>
      </c>
      <c r="E5">
        <v>2</v>
      </c>
      <c r="F5">
        <v>0</v>
      </c>
      <c r="G5">
        <v>1</v>
      </c>
      <c r="H5">
        <v>0</v>
      </c>
    </row>
    <row r="6" spans="1:8" x14ac:dyDescent="0.15">
      <c r="B6" t="s">
        <v>56</v>
      </c>
      <c r="C6">
        <v>1</v>
      </c>
      <c r="D6">
        <v>0</v>
      </c>
      <c r="E6">
        <v>4</v>
      </c>
      <c r="F6">
        <v>0</v>
      </c>
      <c r="G6">
        <v>3</v>
      </c>
      <c r="H6">
        <v>0</v>
      </c>
    </row>
    <row r="7" spans="1:8" x14ac:dyDescent="0.15">
      <c r="B7" t="s">
        <v>55</v>
      </c>
      <c r="C7">
        <v>1</v>
      </c>
      <c r="D7">
        <v>0</v>
      </c>
      <c r="E7">
        <v>6</v>
      </c>
      <c r="F7">
        <v>0</v>
      </c>
      <c r="G7">
        <v>4</v>
      </c>
      <c r="H7">
        <v>0</v>
      </c>
    </row>
    <row r="8" spans="1:8" x14ac:dyDescent="0.15">
      <c r="B8" t="s">
        <v>54</v>
      </c>
      <c r="C8">
        <v>2</v>
      </c>
      <c r="D8">
        <v>0</v>
      </c>
      <c r="E8">
        <v>8</v>
      </c>
      <c r="F8">
        <v>0</v>
      </c>
      <c r="G8">
        <v>6</v>
      </c>
      <c r="H8">
        <v>0</v>
      </c>
    </row>
    <row r="9" spans="1:8" x14ac:dyDescent="0.15">
      <c r="B9" t="s">
        <v>53</v>
      </c>
      <c r="C9">
        <v>3</v>
      </c>
      <c r="D9">
        <v>0</v>
      </c>
      <c r="E9">
        <v>10</v>
      </c>
      <c r="F9">
        <v>0</v>
      </c>
      <c r="G9">
        <v>8</v>
      </c>
      <c r="H9">
        <v>42</v>
      </c>
    </row>
    <row r="10" spans="1:8" x14ac:dyDescent="0.15">
      <c r="B10" t="s">
        <v>52</v>
      </c>
      <c r="C10">
        <v>3</v>
      </c>
      <c r="D10">
        <v>0</v>
      </c>
      <c r="E10">
        <v>12</v>
      </c>
      <c r="F10">
        <v>0</v>
      </c>
      <c r="G10">
        <v>9</v>
      </c>
      <c r="H10">
        <v>42</v>
      </c>
    </row>
    <row r="11" spans="1:8" x14ac:dyDescent="0.15">
      <c r="B11" t="s">
        <v>51</v>
      </c>
      <c r="C11">
        <v>3</v>
      </c>
      <c r="D11">
        <v>0</v>
      </c>
      <c r="E11">
        <v>14</v>
      </c>
      <c r="F11">
        <v>0</v>
      </c>
      <c r="G11">
        <v>11</v>
      </c>
      <c r="H11">
        <v>42</v>
      </c>
    </row>
    <row r="12" spans="1:8" x14ac:dyDescent="0.15">
      <c r="B12" t="s">
        <v>50</v>
      </c>
      <c r="C12">
        <v>4</v>
      </c>
      <c r="D12">
        <v>0</v>
      </c>
      <c r="E12">
        <v>16</v>
      </c>
      <c r="F12">
        <v>0</v>
      </c>
      <c r="G12">
        <v>12</v>
      </c>
      <c r="H12">
        <v>84</v>
      </c>
    </row>
    <row r="13" spans="1:8" x14ac:dyDescent="0.15">
      <c r="B13" t="s">
        <v>49</v>
      </c>
      <c r="C13">
        <v>4</v>
      </c>
      <c r="D13">
        <v>0</v>
      </c>
      <c r="E13">
        <v>18</v>
      </c>
      <c r="F13">
        <v>0</v>
      </c>
      <c r="G13">
        <v>14</v>
      </c>
      <c r="H13">
        <v>56</v>
      </c>
    </row>
    <row r="14" spans="1:8" x14ac:dyDescent="0.15">
      <c r="B14" t="s">
        <v>48</v>
      </c>
      <c r="C14">
        <v>5</v>
      </c>
      <c r="D14">
        <v>0</v>
      </c>
      <c r="E14">
        <v>20</v>
      </c>
      <c r="F14">
        <v>0</v>
      </c>
      <c r="G14">
        <v>15</v>
      </c>
      <c r="H14">
        <v>0</v>
      </c>
    </row>
    <row r="15" spans="1:8" x14ac:dyDescent="0.15">
      <c r="B15" t="s">
        <v>88</v>
      </c>
      <c r="C15">
        <v>15</v>
      </c>
      <c r="D15">
        <v>0</v>
      </c>
      <c r="E15">
        <v>60</v>
      </c>
      <c r="F15">
        <v>0</v>
      </c>
      <c r="G15">
        <v>45</v>
      </c>
      <c r="H15">
        <v>14</v>
      </c>
    </row>
    <row r="16" spans="1:8" x14ac:dyDescent="0.15">
      <c r="A16" t="s">
        <v>57</v>
      </c>
      <c r="B16" t="s">
        <v>81</v>
      </c>
      <c r="C16">
        <v>3</v>
      </c>
      <c r="D16">
        <v>0</v>
      </c>
      <c r="E16">
        <v>1</v>
      </c>
      <c r="F16">
        <v>0</v>
      </c>
      <c r="G16">
        <v>0</v>
      </c>
      <c r="H16">
        <v>0</v>
      </c>
    </row>
    <row r="17" spans="1:8" x14ac:dyDescent="0.15">
      <c r="B17" t="s">
        <v>56</v>
      </c>
      <c r="C17">
        <v>6</v>
      </c>
      <c r="D17">
        <v>0</v>
      </c>
      <c r="E17">
        <v>2</v>
      </c>
      <c r="F17">
        <v>0</v>
      </c>
      <c r="G17">
        <v>0</v>
      </c>
      <c r="H17">
        <v>0</v>
      </c>
    </row>
    <row r="18" spans="1:8" x14ac:dyDescent="0.15">
      <c r="B18" t="s">
        <v>55</v>
      </c>
      <c r="C18">
        <v>9</v>
      </c>
      <c r="D18">
        <v>0</v>
      </c>
      <c r="E18">
        <v>3</v>
      </c>
      <c r="F18">
        <v>0</v>
      </c>
      <c r="G18">
        <v>0</v>
      </c>
      <c r="H18">
        <v>0</v>
      </c>
    </row>
    <row r="19" spans="1:8" x14ac:dyDescent="0.15">
      <c r="B19" t="s">
        <v>54</v>
      </c>
      <c r="C19">
        <v>12</v>
      </c>
      <c r="D19">
        <v>0</v>
      </c>
      <c r="E19">
        <v>4</v>
      </c>
      <c r="F19">
        <v>0</v>
      </c>
      <c r="G19">
        <v>0</v>
      </c>
      <c r="H19">
        <v>0</v>
      </c>
    </row>
    <row r="20" spans="1:8" x14ac:dyDescent="0.15">
      <c r="B20" t="s">
        <v>53</v>
      </c>
      <c r="C20">
        <v>15</v>
      </c>
      <c r="D20">
        <v>0</v>
      </c>
      <c r="E20">
        <v>5</v>
      </c>
      <c r="F20">
        <v>0</v>
      </c>
      <c r="G20">
        <v>0</v>
      </c>
      <c r="H20">
        <v>42</v>
      </c>
    </row>
    <row r="21" spans="1:8" x14ac:dyDescent="0.15">
      <c r="B21" t="s">
        <v>52</v>
      </c>
      <c r="C21">
        <v>18</v>
      </c>
      <c r="D21">
        <v>0</v>
      </c>
      <c r="E21">
        <v>6</v>
      </c>
      <c r="F21">
        <v>0</v>
      </c>
      <c r="G21">
        <v>0</v>
      </c>
      <c r="H21">
        <v>70</v>
      </c>
    </row>
    <row r="22" spans="1:8" x14ac:dyDescent="0.15">
      <c r="B22" t="s">
        <v>51</v>
      </c>
      <c r="C22">
        <v>21</v>
      </c>
      <c r="D22">
        <v>0</v>
      </c>
      <c r="E22">
        <v>7</v>
      </c>
      <c r="F22">
        <v>0</v>
      </c>
      <c r="G22">
        <v>0</v>
      </c>
      <c r="H22">
        <v>56</v>
      </c>
    </row>
    <row r="23" spans="1:8" x14ac:dyDescent="0.15">
      <c r="B23" t="s">
        <v>50</v>
      </c>
      <c r="C23">
        <v>24</v>
      </c>
      <c r="D23">
        <v>0</v>
      </c>
      <c r="E23">
        <v>8</v>
      </c>
      <c r="F23">
        <v>0</v>
      </c>
      <c r="G23">
        <v>0</v>
      </c>
      <c r="H23">
        <v>56</v>
      </c>
    </row>
    <row r="24" spans="1:8" x14ac:dyDescent="0.15">
      <c r="B24" t="s">
        <v>49</v>
      </c>
      <c r="C24">
        <v>27</v>
      </c>
      <c r="D24">
        <v>0</v>
      </c>
      <c r="E24">
        <v>9</v>
      </c>
      <c r="F24">
        <v>0</v>
      </c>
      <c r="G24">
        <v>0</v>
      </c>
      <c r="H24">
        <v>70</v>
      </c>
    </row>
    <row r="25" spans="1:8" x14ac:dyDescent="0.15">
      <c r="B25" t="s">
        <v>48</v>
      </c>
      <c r="C25">
        <v>30</v>
      </c>
      <c r="D25">
        <v>0</v>
      </c>
      <c r="E25">
        <v>10</v>
      </c>
      <c r="F25">
        <v>0</v>
      </c>
      <c r="G25">
        <v>0</v>
      </c>
      <c r="H25">
        <v>0</v>
      </c>
    </row>
    <row r="26" spans="1:8" x14ac:dyDescent="0.15">
      <c r="B26" t="s">
        <v>88</v>
      </c>
      <c r="C26">
        <v>90</v>
      </c>
      <c r="D26">
        <v>0</v>
      </c>
      <c r="E26">
        <v>30</v>
      </c>
      <c r="F26">
        <v>0</v>
      </c>
      <c r="G26">
        <v>0</v>
      </c>
      <c r="H26">
        <v>28</v>
      </c>
    </row>
    <row r="27" spans="1:8" x14ac:dyDescent="0.15">
      <c r="A27" t="s">
        <v>47</v>
      </c>
      <c r="B27" t="s">
        <v>80</v>
      </c>
      <c r="C27">
        <v>1</v>
      </c>
      <c r="D27">
        <v>5</v>
      </c>
      <c r="E27">
        <v>0</v>
      </c>
      <c r="F27">
        <v>0</v>
      </c>
      <c r="G27">
        <v>0</v>
      </c>
      <c r="H27">
        <v>0</v>
      </c>
    </row>
    <row r="28" spans="1:8" x14ac:dyDescent="0.15">
      <c r="B28" t="s">
        <v>44</v>
      </c>
      <c r="C28">
        <v>1</v>
      </c>
      <c r="D28">
        <v>7</v>
      </c>
      <c r="E28">
        <v>0</v>
      </c>
      <c r="F28">
        <v>0</v>
      </c>
      <c r="G28">
        <v>0</v>
      </c>
      <c r="H28">
        <v>0</v>
      </c>
    </row>
    <row r="29" spans="1:8" x14ac:dyDescent="0.15">
      <c r="B29" t="s">
        <v>43</v>
      </c>
      <c r="C29">
        <v>1</v>
      </c>
      <c r="D29">
        <v>9</v>
      </c>
      <c r="E29">
        <v>0</v>
      </c>
      <c r="F29">
        <v>0</v>
      </c>
      <c r="G29">
        <v>0</v>
      </c>
      <c r="H29">
        <v>0</v>
      </c>
    </row>
    <row r="30" spans="1:8" x14ac:dyDescent="0.15">
      <c r="B30" t="s">
        <v>42</v>
      </c>
      <c r="C30">
        <v>2</v>
      </c>
      <c r="D30">
        <v>11</v>
      </c>
      <c r="E30">
        <v>0</v>
      </c>
      <c r="F30">
        <v>0</v>
      </c>
      <c r="G30">
        <v>0</v>
      </c>
      <c r="H30">
        <v>0</v>
      </c>
    </row>
    <row r="31" spans="1:8" x14ac:dyDescent="0.15">
      <c r="B31" t="s">
        <v>41</v>
      </c>
      <c r="C31">
        <v>2</v>
      </c>
      <c r="D31">
        <v>13</v>
      </c>
      <c r="E31">
        <v>0</v>
      </c>
      <c r="F31">
        <v>0</v>
      </c>
      <c r="G31">
        <v>0</v>
      </c>
      <c r="H31">
        <v>14</v>
      </c>
    </row>
    <row r="32" spans="1:8" x14ac:dyDescent="0.15">
      <c r="B32" t="s">
        <v>40</v>
      </c>
      <c r="C32">
        <v>3</v>
      </c>
      <c r="D32">
        <v>15</v>
      </c>
      <c r="E32">
        <v>0</v>
      </c>
      <c r="F32">
        <v>0</v>
      </c>
      <c r="G32">
        <v>0</v>
      </c>
      <c r="H32">
        <v>28</v>
      </c>
    </row>
    <row r="33" spans="1:8" x14ac:dyDescent="0.15">
      <c r="B33" t="s">
        <v>39</v>
      </c>
      <c r="C33">
        <v>3</v>
      </c>
      <c r="D33">
        <v>17</v>
      </c>
      <c r="E33">
        <v>0</v>
      </c>
      <c r="F33">
        <v>0</v>
      </c>
      <c r="G33">
        <v>0</v>
      </c>
      <c r="H33">
        <v>28</v>
      </c>
    </row>
    <row r="34" spans="1:8" x14ac:dyDescent="0.15">
      <c r="B34" t="s">
        <v>38</v>
      </c>
      <c r="C34">
        <v>4</v>
      </c>
      <c r="D34">
        <v>19</v>
      </c>
      <c r="E34">
        <v>0</v>
      </c>
      <c r="F34">
        <v>0</v>
      </c>
      <c r="G34">
        <v>0</v>
      </c>
      <c r="H34">
        <v>28</v>
      </c>
    </row>
    <row r="35" spans="1:8" x14ac:dyDescent="0.15">
      <c r="B35" t="s">
        <v>37</v>
      </c>
      <c r="C35">
        <v>4</v>
      </c>
      <c r="D35">
        <v>21</v>
      </c>
      <c r="E35">
        <v>0</v>
      </c>
      <c r="F35">
        <v>0</v>
      </c>
      <c r="G35">
        <v>0</v>
      </c>
      <c r="H35">
        <v>28</v>
      </c>
    </row>
    <row r="36" spans="1:8" x14ac:dyDescent="0.15">
      <c r="B36" t="s">
        <v>36</v>
      </c>
      <c r="C36">
        <v>5</v>
      </c>
      <c r="D36">
        <v>23</v>
      </c>
      <c r="E36">
        <v>0</v>
      </c>
      <c r="F36">
        <v>0</v>
      </c>
      <c r="G36">
        <v>0</v>
      </c>
      <c r="H36">
        <v>0</v>
      </c>
    </row>
    <row r="37" spans="1:8" x14ac:dyDescent="0.15">
      <c r="B37" t="s">
        <v>88</v>
      </c>
      <c r="C37">
        <v>15</v>
      </c>
      <c r="D37">
        <v>69</v>
      </c>
      <c r="E37">
        <v>0</v>
      </c>
      <c r="F37">
        <v>0</v>
      </c>
      <c r="G37">
        <v>0</v>
      </c>
      <c r="H37">
        <v>14</v>
      </c>
    </row>
    <row r="38" spans="1:8" x14ac:dyDescent="0.15">
      <c r="A38" t="s">
        <v>46</v>
      </c>
      <c r="B38" t="s">
        <v>80</v>
      </c>
      <c r="C38">
        <v>1</v>
      </c>
      <c r="D38">
        <v>1</v>
      </c>
      <c r="E38">
        <v>1</v>
      </c>
      <c r="F38">
        <v>0</v>
      </c>
      <c r="G38">
        <v>0</v>
      </c>
      <c r="H38">
        <v>0</v>
      </c>
    </row>
    <row r="39" spans="1:8" x14ac:dyDescent="0.15">
      <c r="B39" t="s">
        <v>44</v>
      </c>
      <c r="C39">
        <v>2</v>
      </c>
      <c r="D39">
        <v>2</v>
      </c>
      <c r="E39">
        <v>2</v>
      </c>
      <c r="F39">
        <v>0</v>
      </c>
      <c r="G39">
        <v>0</v>
      </c>
      <c r="H39">
        <v>0</v>
      </c>
    </row>
    <row r="40" spans="1:8" x14ac:dyDescent="0.15">
      <c r="B40" t="s">
        <v>43</v>
      </c>
      <c r="C40">
        <v>3</v>
      </c>
      <c r="D40">
        <v>3</v>
      </c>
      <c r="E40">
        <v>3</v>
      </c>
      <c r="F40">
        <v>0</v>
      </c>
      <c r="G40">
        <v>0</v>
      </c>
      <c r="H40">
        <v>0</v>
      </c>
    </row>
    <row r="41" spans="1:8" x14ac:dyDescent="0.15">
      <c r="B41" t="s">
        <v>42</v>
      </c>
      <c r="C41">
        <v>4</v>
      </c>
      <c r="D41">
        <v>4</v>
      </c>
      <c r="E41">
        <v>4</v>
      </c>
      <c r="F41">
        <v>0</v>
      </c>
      <c r="G41">
        <v>0</v>
      </c>
      <c r="H41">
        <v>0</v>
      </c>
    </row>
    <row r="42" spans="1:8" x14ac:dyDescent="0.15">
      <c r="B42" t="s">
        <v>41</v>
      </c>
      <c r="C42">
        <v>5</v>
      </c>
      <c r="D42">
        <v>5</v>
      </c>
      <c r="E42">
        <v>5</v>
      </c>
      <c r="F42">
        <v>0</v>
      </c>
      <c r="G42">
        <v>0</v>
      </c>
      <c r="H42">
        <v>14</v>
      </c>
    </row>
    <row r="43" spans="1:8" x14ac:dyDescent="0.15">
      <c r="B43" t="s">
        <v>40</v>
      </c>
      <c r="C43">
        <v>6</v>
      </c>
      <c r="D43">
        <v>6</v>
      </c>
      <c r="E43">
        <v>6</v>
      </c>
      <c r="F43">
        <v>0</v>
      </c>
      <c r="G43">
        <v>0</v>
      </c>
      <c r="H43">
        <v>28</v>
      </c>
    </row>
    <row r="44" spans="1:8" x14ac:dyDescent="0.15">
      <c r="B44" t="s">
        <v>39</v>
      </c>
      <c r="C44">
        <v>7</v>
      </c>
      <c r="D44">
        <v>7</v>
      </c>
      <c r="E44">
        <v>7</v>
      </c>
      <c r="F44">
        <v>0</v>
      </c>
      <c r="G44">
        <v>0</v>
      </c>
      <c r="H44">
        <v>28</v>
      </c>
    </row>
    <row r="45" spans="1:8" x14ac:dyDescent="0.15">
      <c r="B45" t="s">
        <v>38</v>
      </c>
      <c r="C45">
        <v>8</v>
      </c>
      <c r="D45">
        <v>8</v>
      </c>
      <c r="E45">
        <v>8</v>
      </c>
      <c r="F45">
        <v>0</v>
      </c>
      <c r="G45">
        <v>0</v>
      </c>
      <c r="H45">
        <v>28</v>
      </c>
    </row>
    <row r="46" spans="1:8" x14ac:dyDescent="0.15">
      <c r="B46" t="s">
        <v>37</v>
      </c>
      <c r="C46">
        <v>9</v>
      </c>
      <c r="D46">
        <v>9</v>
      </c>
      <c r="E46">
        <v>9</v>
      </c>
      <c r="F46">
        <v>0</v>
      </c>
      <c r="G46">
        <v>0</v>
      </c>
      <c r="H46">
        <v>28</v>
      </c>
    </row>
    <row r="47" spans="1:8" x14ac:dyDescent="0.15">
      <c r="B47" t="s">
        <v>36</v>
      </c>
      <c r="C47">
        <v>10</v>
      </c>
      <c r="D47">
        <v>10</v>
      </c>
      <c r="E47">
        <v>10</v>
      </c>
      <c r="F47">
        <v>0</v>
      </c>
      <c r="G47">
        <v>0</v>
      </c>
      <c r="H47">
        <v>0</v>
      </c>
    </row>
    <row r="48" spans="1:8" x14ac:dyDescent="0.15">
      <c r="B48" t="s">
        <v>88</v>
      </c>
      <c r="C48">
        <v>30</v>
      </c>
      <c r="D48">
        <v>30</v>
      </c>
      <c r="E48">
        <v>30</v>
      </c>
      <c r="F48">
        <v>0</v>
      </c>
      <c r="G48">
        <v>0</v>
      </c>
      <c r="H48">
        <v>14</v>
      </c>
    </row>
    <row r="49" spans="1:8" x14ac:dyDescent="0.15">
      <c r="A49" t="s">
        <v>45</v>
      </c>
      <c r="B49" t="s">
        <v>80</v>
      </c>
      <c r="C49">
        <v>0</v>
      </c>
      <c r="D49">
        <v>1</v>
      </c>
      <c r="E49">
        <v>1</v>
      </c>
      <c r="F49">
        <v>0</v>
      </c>
      <c r="G49">
        <v>1</v>
      </c>
      <c r="H49">
        <v>0</v>
      </c>
    </row>
    <row r="50" spans="1:8" x14ac:dyDescent="0.15">
      <c r="B50" t="s">
        <v>44</v>
      </c>
      <c r="C50">
        <v>0</v>
      </c>
      <c r="D50">
        <v>2</v>
      </c>
      <c r="E50">
        <v>2</v>
      </c>
      <c r="F50">
        <v>0</v>
      </c>
      <c r="G50">
        <v>2</v>
      </c>
      <c r="H50">
        <v>0</v>
      </c>
    </row>
    <row r="51" spans="1:8" x14ac:dyDescent="0.15">
      <c r="B51" t="s">
        <v>43</v>
      </c>
      <c r="C51">
        <v>0</v>
      </c>
      <c r="D51">
        <v>3</v>
      </c>
      <c r="E51">
        <v>3</v>
      </c>
      <c r="F51">
        <v>0</v>
      </c>
      <c r="G51">
        <v>3</v>
      </c>
      <c r="H51">
        <v>0</v>
      </c>
    </row>
    <row r="52" spans="1:8" x14ac:dyDescent="0.15">
      <c r="B52" t="s">
        <v>42</v>
      </c>
      <c r="C52">
        <v>0</v>
      </c>
      <c r="D52">
        <v>4</v>
      </c>
      <c r="E52">
        <v>4</v>
      </c>
      <c r="F52">
        <v>0</v>
      </c>
      <c r="G52">
        <v>4</v>
      </c>
      <c r="H52">
        <v>0</v>
      </c>
    </row>
    <row r="53" spans="1:8" x14ac:dyDescent="0.15">
      <c r="B53" t="s">
        <v>41</v>
      </c>
      <c r="C53">
        <v>0</v>
      </c>
      <c r="D53">
        <v>5</v>
      </c>
      <c r="E53">
        <v>5</v>
      </c>
      <c r="F53">
        <v>0</v>
      </c>
      <c r="G53">
        <v>5</v>
      </c>
      <c r="H53">
        <v>14</v>
      </c>
    </row>
    <row r="54" spans="1:8" x14ac:dyDescent="0.15">
      <c r="B54" t="s">
        <v>40</v>
      </c>
      <c r="C54">
        <v>0</v>
      </c>
      <c r="D54">
        <v>6</v>
      </c>
      <c r="E54">
        <v>6</v>
      </c>
      <c r="F54">
        <v>0</v>
      </c>
      <c r="G54">
        <v>6</v>
      </c>
      <c r="H54">
        <v>28</v>
      </c>
    </row>
    <row r="55" spans="1:8" x14ac:dyDescent="0.15">
      <c r="B55" t="s">
        <v>39</v>
      </c>
      <c r="C55">
        <v>0</v>
      </c>
      <c r="D55">
        <v>7</v>
      </c>
      <c r="E55">
        <v>7</v>
      </c>
      <c r="F55">
        <v>0</v>
      </c>
      <c r="G55">
        <v>7</v>
      </c>
      <c r="H55">
        <v>28</v>
      </c>
    </row>
    <row r="56" spans="1:8" x14ac:dyDescent="0.15">
      <c r="B56" t="s">
        <v>38</v>
      </c>
      <c r="C56">
        <v>0</v>
      </c>
      <c r="D56">
        <v>8</v>
      </c>
      <c r="E56">
        <v>8</v>
      </c>
      <c r="F56">
        <v>0</v>
      </c>
      <c r="G56">
        <v>8</v>
      </c>
      <c r="H56">
        <v>28</v>
      </c>
    </row>
    <row r="57" spans="1:8" x14ac:dyDescent="0.15">
      <c r="B57" t="s">
        <v>37</v>
      </c>
      <c r="C57">
        <v>0</v>
      </c>
      <c r="D57">
        <v>9</v>
      </c>
      <c r="E57">
        <v>9</v>
      </c>
      <c r="F57">
        <v>0</v>
      </c>
      <c r="G57">
        <v>9</v>
      </c>
      <c r="H57">
        <v>28</v>
      </c>
    </row>
    <row r="58" spans="1:8" x14ac:dyDescent="0.15">
      <c r="B58" t="s">
        <v>36</v>
      </c>
      <c r="C58">
        <v>0</v>
      </c>
      <c r="D58">
        <v>10</v>
      </c>
      <c r="E58">
        <v>10</v>
      </c>
      <c r="F58">
        <v>0</v>
      </c>
      <c r="G58">
        <v>10</v>
      </c>
      <c r="H58">
        <v>0</v>
      </c>
    </row>
    <row r="59" spans="1:8" x14ac:dyDescent="0.15">
      <c r="B59" t="s">
        <v>88</v>
      </c>
      <c r="C59">
        <v>0</v>
      </c>
      <c r="D59">
        <v>30</v>
      </c>
      <c r="E59">
        <v>30</v>
      </c>
      <c r="F59">
        <v>0</v>
      </c>
      <c r="G59">
        <v>30</v>
      </c>
      <c r="H59">
        <v>14</v>
      </c>
    </row>
    <row r="60" spans="1:8" x14ac:dyDescent="0.15">
      <c r="A60" t="s">
        <v>35</v>
      </c>
      <c r="B60" t="s">
        <v>80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 x14ac:dyDescent="0.15">
      <c r="B61" t="s">
        <v>34</v>
      </c>
      <c r="C61">
        <v>0</v>
      </c>
      <c r="D61">
        <v>1</v>
      </c>
      <c r="E61">
        <v>0</v>
      </c>
      <c r="F61">
        <v>0</v>
      </c>
      <c r="G61">
        <v>4</v>
      </c>
      <c r="H61">
        <v>0</v>
      </c>
    </row>
    <row r="62" spans="1:8" x14ac:dyDescent="0.15">
      <c r="B62" t="s">
        <v>33</v>
      </c>
      <c r="C62">
        <v>0</v>
      </c>
      <c r="D62">
        <v>2</v>
      </c>
      <c r="E62">
        <v>0</v>
      </c>
      <c r="F62">
        <v>0</v>
      </c>
      <c r="G62">
        <v>6</v>
      </c>
      <c r="H62">
        <v>0</v>
      </c>
    </row>
    <row r="63" spans="1:8" x14ac:dyDescent="0.15">
      <c r="B63" t="s">
        <v>32</v>
      </c>
      <c r="C63">
        <v>0</v>
      </c>
      <c r="D63">
        <v>2</v>
      </c>
      <c r="E63">
        <v>0</v>
      </c>
      <c r="F63">
        <v>0</v>
      </c>
      <c r="G63">
        <v>7</v>
      </c>
      <c r="H63">
        <v>0</v>
      </c>
    </row>
    <row r="64" spans="1:8" x14ac:dyDescent="0.15">
      <c r="B64" t="s">
        <v>31</v>
      </c>
      <c r="C64">
        <v>0</v>
      </c>
      <c r="D64">
        <v>3</v>
      </c>
      <c r="E64">
        <v>0</v>
      </c>
      <c r="F64">
        <v>0</v>
      </c>
      <c r="G64">
        <v>9</v>
      </c>
      <c r="H64">
        <v>14</v>
      </c>
    </row>
    <row r="65" spans="2:8" x14ac:dyDescent="0.15">
      <c r="B65" t="s">
        <v>30</v>
      </c>
      <c r="C65">
        <v>0</v>
      </c>
      <c r="D65">
        <v>3</v>
      </c>
      <c r="E65">
        <v>0</v>
      </c>
      <c r="F65">
        <v>0</v>
      </c>
      <c r="G65">
        <v>10</v>
      </c>
      <c r="H65">
        <v>0</v>
      </c>
    </row>
    <row r="66" spans="2:8" x14ac:dyDescent="0.15">
      <c r="B66" t="s">
        <v>29</v>
      </c>
      <c r="C66">
        <v>0</v>
      </c>
      <c r="D66">
        <v>4</v>
      </c>
      <c r="E66">
        <v>0</v>
      </c>
      <c r="F66">
        <v>0</v>
      </c>
      <c r="G66">
        <v>12</v>
      </c>
      <c r="H66">
        <v>28</v>
      </c>
    </row>
    <row r="67" spans="2:8" x14ac:dyDescent="0.15">
      <c r="B67" t="s">
        <v>28</v>
      </c>
      <c r="C67">
        <v>0</v>
      </c>
      <c r="D67">
        <v>4</v>
      </c>
      <c r="E67">
        <v>0</v>
      </c>
      <c r="F67">
        <v>0</v>
      </c>
      <c r="G67">
        <v>13</v>
      </c>
      <c r="H67">
        <v>0</v>
      </c>
    </row>
    <row r="68" spans="2:8" x14ac:dyDescent="0.15">
      <c r="B68" t="s">
        <v>27</v>
      </c>
      <c r="C68">
        <v>0</v>
      </c>
      <c r="D68">
        <v>5</v>
      </c>
      <c r="E68">
        <v>0</v>
      </c>
      <c r="F68">
        <v>0</v>
      </c>
      <c r="G68">
        <v>15</v>
      </c>
      <c r="H68">
        <v>14</v>
      </c>
    </row>
    <row r="69" spans="2:8" x14ac:dyDescent="0.15">
      <c r="B69" t="s">
        <v>26</v>
      </c>
      <c r="C69">
        <v>0</v>
      </c>
      <c r="D69">
        <v>5</v>
      </c>
      <c r="E69">
        <v>0</v>
      </c>
      <c r="F69">
        <v>0</v>
      </c>
      <c r="G69">
        <v>16</v>
      </c>
      <c r="H69">
        <v>0</v>
      </c>
    </row>
    <row r="70" spans="2:8" x14ac:dyDescent="0.15">
      <c r="B70" t="s">
        <v>88</v>
      </c>
      <c r="C70">
        <v>0</v>
      </c>
      <c r="D70">
        <v>15</v>
      </c>
      <c r="E70">
        <v>0</v>
      </c>
      <c r="F70">
        <v>0</v>
      </c>
      <c r="G70">
        <v>45</v>
      </c>
      <c r="H70">
        <v>0</v>
      </c>
    </row>
    <row r="107" ht="12.75" customHeight="1" x14ac:dyDescent="0.15"/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21"/>
  <sheetViews>
    <sheetView topLeftCell="A91" workbookViewId="0">
      <selection activeCell="H92" sqref="H92"/>
    </sheetView>
  </sheetViews>
  <sheetFormatPr defaultRowHeight="13.5" x14ac:dyDescent="0.15"/>
  <cols>
    <col min="2" max="2" width="17.75" bestFit="1" customWidth="1"/>
  </cols>
  <sheetData>
    <row r="1" spans="1:11" x14ac:dyDescent="0.15">
      <c r="A1" t="s">
        <v>224</v>
      </c>
      <c r="B1" t="s">
        <v>225</v>
      </c>
      <c r="C1" t="s">
        <v>226</v>
      </c>
      <c r="D1" t="s">
        <v>227</v>
      </c>
      <c r="E1" t="s">
        <v>228</v>
      </c>
      <c r="F1" t="s">
        <v>232</v>
      </c>
      <c r="G1" t="s">
        <v>229</v>
      </c>
      <c r="H1" t="s">
        <v>233</v>
      </c>
      <c r="I1" t="s">
        <v>234</v>
      </c>
      <c r="J1" t="s">
        <v>230</v>
      </c>
      <c r="K1" t="s">
        <v>231</v>
      </c>
    </row>
    <row r="2" spans="1:11" x14ac:dyDescent="0.15">
      <c r="A2" t="s">
        <v>235</v>
      </c>
      <c r="B2" t="s">
        <v>25</v>
      </c>
      <c r="C2">
        <v>0</v>
      </c>
      <c r="D2">
        <v>15</v>
      </c>
      <c r="E2">
        <v>30</v>
      </c>
      <c r="F2">
        <v>0</v>
      </c>
      <c r="G2">
        <v>105</v>
      </c>
      <c r="H2">
        <v>-1</v>
      </c>
      <c r="I2" t="str">
        <f>A3</f>
        <v>A002</v>
      </c>
      <c r="J2">
        <v>39.200000000000003</v>
      </c>
      <c r="K2">
        <v>0</v>
      </c>
    </row>
    <row r="3" spans="1:11" x14ac:dyDescent="0.15">
      <c r="A3" t="s">
        <v>236</v>
      </c>
      <c r="B3" t="s">
        <v>24</v>
      </c>
      <c r="C3">
        <v>0</v>
      </c>
      <c r="D3">
        <v>20</v>
      </c>
      <c r="E3">
        <v>40</v>
      </c>
      <c r="F3">
        <v>0</v>
      </c>
      <c r="G3">
        <v>140</v>
      </c>
      <c r="H3" t="str">
        <f>A2</f>
        <v>A001</v>
      </c>
      <c r="I3" t="str">
        <f>A64</f>
        <v>S001</v>
      </c>
      <c r="J3">
        <v>19.600000000000001</v>
      </c>
      <c r="K3">
        <v>0</v>
      </c>
    </row>
    <row r="4" spans="1:11" x14ac:dyDescent="0.15">
      <c r="A4" t="s">
        <v>237</v>
      </c>
      <c r="B4" t="s">
        <v>23</v>
      </c>
      <c r="C4">
        <v>48</v>
      </c>
      <c r="D4">
        <v>30</v>
      </c>
      <c r="E4">
        <v>72</v>
      </c>
      <c r="F4">
        <v>0</v>
      </c>
      <c r="G4">
        <v>0</v>
      </c>
      <c r="H4">
        <v>-1</v>
      </c>
      <c r="I4" t="str">
        <f t="shared" ref="I4" si="0">A5</f>
        <v>A004</v>
      </c>
      <c r="J4">
        <v>39.200000000000003</v>
      </c>
      <c r="K4">
        <v>0</v>
      </c>
    </row>
    <row r="5" spans="1:11" x14ac:dyDescent="0.15">
      <c r="A5" t="s">
        <v>238</v>
      </c>
      <c r="B5" t="s">
        <v>22</v>
      </c>
      <c r="C5">
        <v>64</v>
      </c>
      <c r="D5">
        <v>40</v>
      </c>
      <c r="E5">
        <v>96</v>
      </c>
      <c r="F5">
        <v>0</v>
      </c>
      <c r="G5">
        <v>0</v>
      </c>
      <c r="H5" t="str">
        <f>A4</f>
        <v>A003</v>
      </c>
      <c r="I5" t="str">
        <f>A65</f>
        <v>S002</v>
      </c>
      <c r="J5">
        <v>19.600000000000001</v>
      </c>
      <c r="K5">
        <v>0</v>
      </c>
    </row>
    <row r="6" spans="1:11" x14ac:dyDescent="0.15">
      <c r="A6" t="s">
        <v>239</v>
      </c>
      <c r="B6" t="s">
        <v>21</v>
      </c>
      <c r="C6">
        <v>0</v>
      </c>
      <c r="D6">
        <v>108</v>
      </c>
      <c r="E6">
        <v>48</v>
      </c>
      <c r="F6">
        <v>0</v>
      </c>
      <c r="G6">
        <v>42</v>
      </c>
      <c r="H6">
        <v>-1</v>
      </c>
      <c r="I6" t="str">
        <f t="shared" ref="I6:I8" si="1">A7</f>
        <v>A006</v>
      </c>
      <c r="J6">
        <v>23.52</v>
      </c>
      <c r="K6">
        <v>0</v>
      </c>
    </row>
    <row r="7" spans="1:11" x14ac:dyDescent="0.15">
      <c r="A7" t="s">
        <v>240</v>
      </c>
      <c r="B7" t="s">
        <v>20</v>
      </c>
      <c r="C7">
        <v>0</v>
      </c>
      <c r="D7">
        <v>144</v>
      </c>
      <c r="E7">
        <v>64</v>
      </c>
      <c r="F7">
        <v>0</v>
      </c>
      <c r="G7">
        <v>56</v>
      </c>
      <c r="H7" t="str">
        <f>A6</f>
        <v>A005</v>
      </c>
      <c r="I7" t="str">
        <f>A66</f>
        <v>S003</v>
      </c>
      <c r="J7">
        <v>7.84</v>
      </c>
      <c r="K7">
        <v>0</v>
      </c>
    </row>
    <row r="8" spans="1:11" x14ac:dyDescent="0.15">
      <c r="A8" t="s">
        <v>241</v>
      </c>
      <c r="B8" t="s">
        <v>19</v>
      </c>
      <c r="C8">
        <v>0</v>
      </c>
      <c r="D8">
        <v>72</v>
      </c>
      <c r="E8">
        <v>48</v>
      </c>
      <c r="F8">
        <v>0</v>
      </c>
      <c r="G8">
        <v>30</v>
      </c>
      <c r="H8">
        <v>-1</v>
      </c>
      <c r="I8" t="str">
        <f t="shared" si="1"/>
        <v>A008</v>
      </c>
      <c r="J8">
        <v>14</v>
      </c>
      <c r="K8">
        <v>0</v>
      </c>
    </row>
    <row r="9" spans="1:11" x14ac:dyDescent="0.15">
      <c r="A9" t="s">
        <v>242</v>
      </c>
      <c r="B9" t="s">
        <v>18</v>
      </c>
      <c r="C9">
        <v>0</v>
      </c>
      <c r="D9">
        <v>96</v>
      </c>
      <c r="E9">
        <v>64</v>
      </c>
      <c r="F9">
        <v>0</v>
      </c>
      <c r="G9">
        <v>40</v>
      </c>
      <c r="H9" t="str">
        <f>A8</f>
        <v>A007</v>
      </c>
      <c r="I9" t="str">
        <f>A67</f>
        <v>S004</v>
      </c>
      <c r="J9">
        <v>1.68</v>
      </c>
      <c r="K9">
        <v>0</v>
      </c>
    </row>
    <row r="10" spans="1:11" x14ac:dyDescent="0.15">
      <c r="A10" t="s">
        <v>243</v>
      </c>
      <c r="B10" t="s">
        <v>17</v>
      </c>
      <c r="C10">
        <v>48</v>
      </c>
      <c r="D10">
        <v>48</v>
      </c>
      <c r="E10">
        <v>48</v>
      </c>
      <c r="F10">
        <v>0</v>
      </c>
      <c r="G10">
        <v>0</v>
      </c>
      <c r="H10">
        <v>-1</v>
      </c>
      <c r="I10" t="str">
        <f>A11</f>
        <v>A010</v>
      </c>
      <c r="J10">
        <v>14</v>
      </c>
      <c r="K10">
        <v>0</v>
      </c>
    </row>
    <row r="11" spans="1:11" x14ac:dyDescent="0.15">
      <c r="A11" t="s">
        <v>244</v>
      </c>
      <c r="B11" t="s">
        <v>16</v>
      </c>
      <c r="C11">
        <v>64</v>
      </c>
      <c r="D11">
        <v>64</v>
      </c>
      <c r="E11">
        <v>64</v>
      </c>
      <c r="F11">
        <v>0</v>
      </c>
      <c r="G11">
        <v>0</v>
      </c>
      <c r="H11" t="str">
        <f>A10</f>
        <v>A009</v>
      </c>
      <c r="I11" t="str">
        <f>A68</f>
        <v>S005</v>
      </c>
      <c r="J11">
        <v>1.68</v>
      </c>
      <c r="K11">
        <v>0</v>
      </c>
    </row>
    <row r="12" spans="1:11" x14ac:dyDescent="0.15">
      <c r="A12" t="s">
        <v>245</v>
      </c>
      <c r="B12" t="s">
        <v>62</v>
      </c>
      <c r="C12">
        <v>105</v>
      </c>
      <c r="D12">
        <v>0</v>
      </c>
      <c r="E12">
        <v>0</v>
      </c>
      <c r="F12">
        <v>0</v>
      </c>
      <c r="G12">
        <v>45</v>
      </c>
      <c r="H12">
        <v>-1</v>
      </c>
      <c r="I12" t="str">
        <f>A13</f>
        <v>A012</v>
      </c>
      <c r="J12">
        <v>35.28</v>
      </c>
      <c r="K12">
        <v>0</v>
      </c>
    </row>
    <row r="13" spans="1:11" x14ac:dyDescent="0.15">
      <c r="A13" t="s">
        <v>246</v>
      </c>
      <c r="B13" t="s">
        <v>61</v>
      </c>
      <c r="C13">
        <v>140</v>
      </c>
      <c r="D13">
        <v>0</v>
      </c>
      <c r="E13">
        <v>0</v>
      </c>
      <c r="F13">
        <v>0</v>
      </c>
      <c r="G13">
        <v>60</v>
      </c>
      <c r="H13" t="str">
        <f>A12</f>
        <v>A011</v>
      </c>
      <c r="I13" t="str">
        <f>A69</f>
        <v>S006</v>
      </c>
      <c r="J13">
        <v>23.52</v>
      </c>
      <c r="K13">
        <v>0</v>
      </c>
    </row>
    <row r="14" spans="1:11" x14ac:dyDescent="0.15">
      <c r="A14" t="s">
        <v>247</v>
      </c>
      <c r="B14" t="s">
        <v>89</v>
      </c>
      <c r="C14">
        <v>9</v>
      </c>
      <c r="D14">
        <v>27</v>
      </c>
      <c r="E14">
        <v>75</v>
      </c>
      <c r="F14">
        <v>0</v>
      </c>
      <c r="G14">
        <v>75</v>
      </c>
      <c r="H14">
        <v>-1</v>
      </c>
      <c r="I14" t="str">
        <f>A15</f>
        <v>A014</v>
      </c>
      <c r="J14">
        <v>58.8</v>
      </c>
      <c r="K14">
        <v>0</v>
      </c>
    </row>
    <row r="15" spans="1:11" x14ac:dyDescent="0.15">
      <c r="A15" t="s">
        <v>248</v>
      </c>
      <c r="B15" t="s">
        <v>90</v>
      </c>
      <c r="C15">
        <v>12</v>
      </c>
      <c r="D15">
        <v>36</v>
      </c>
      <c r="E15">
        <v>100</v>
      </c>
      <c r="F15">
        <v>0</v>
      </c>
      <c r="G15">
        <v>100</v>
      </c>
      <c r="H15" t="str">
        <f>A14</f>
        <v>A013</v>
      </c>
      <c r="I15" t="str">
        <f>A70</f>
        <v>S007</v>
      </c>
      <c r="J15">
        <v>2.27</v>
      </c>
      <c r="K15">
        <v>0</v>
      </c>
    </row>
    <row r="16" spans="1:11" x14ac:dyDescent="0.15">
      <c r="A16" t="s">
        <v>249</v>
      </c>
      <c r="B16" t="s">
        <v>15</v>
      </c>
      <c r="C16">
        <v>13</v>
      </c>
      <c r="D16">
        <v>25</v>
      </c>
      <c r="E16">
        <v>150</v>
      </c>
      <c r="F16">
        <v>0</v>
      </c>
      <c r="G16">
        <v>63</v>
      </c>
      <c r="H16">
        <v>-1</v>
      </c>
      <c r="I16" t="str">
        <f>A71</f>
        <v>S008</v>
      </c>
      <c r="J16">
        <v>58.8</v>
      </c>
      <c r="K16">
        <v>0</v>
      </c>
    </row>
    <row r="17" spans="1:11" x14ac:dyDescent="0.15">
      <c r="A17" t="s">
        <v>250</v>
      </c>
      <c r="B17" t="s">
        <v>14</v>
      </c>
      <c r="C17">
        <v>188</v>
      </c>
      <c r="D17">
        <v>13</v>
      </c>
      <c r="E17">
        <v>50</v>
      </c>
      <c r="F17">
        <v>0</v>
      </c>
      <c r="G17">
        <v>0</v>
      </c>
      <c r="H17">
        <v>-1</v>
      </c>
      <c r="I17" t="str">
        <f>A72</f>
        <v>S009</v>
      </c>
      <c r="J17">
        <v>58.8</v>
      </c>
      <c r="K17">
        <v>0</v>
      </c>
    </row>
    <row r="18" spans="1:11" x14ac:dyDescent="0.15">
      <c r="A18" t="s">
        <v>251</v>
      </c>
      <c r="B18" t="s">
        <v>13</v>
      </c>
      <c r="C18">
        <v>125</v>
      </c>
      <c r="D18">
        <v>50</v>
      </c>
      <c r="E18">
        <v>13</v>
      </c>
      <c r="F18">
        <v>0</v>
      </c>
      <c r="G18">
        <v>0</v>
      </c>
      <c r="H18">
        <v>-1</v>
      </c>
      <c r="I18">
        <v>-1</v>
      </c>
      <c r="J18">
        <v>27.44</v>
      </c>
      <c r="K18">
        <v>0</v>
      </c>
    </row>
    <row r="19" spans="1:11" x14ac:dyDescent="0.15">
      <c r="A19" t="s">
        <v>252</v>
      </c>
      <c r="B19" t="s">
        <v>12</v>
      </c>
      <c r="C19">
        <v>119</v>
      </c>
      <c r="D19">
        <v>0</v>
      </c>
      <c r="E19">
        <v>119</v>
      </c>
      <c r="F19">
        <v>0</v>
      </c>
      <c r="G19">
        <v>13</v>
      </c>
      <c r="H19">
        <v>-1</v>
      </c>
      <c r="I19" t="str">
        <f>A95</f>
        <v>S032</v>
      </c>
      <c r="J19">
        <v>58.8</v>
      </c>
      <c r="K19">
        <v>0</v>
      </c>
    </row>
    <row r="20" spans="1:11" x14ac:dyDescent="0.15">
      <c r="A20" t="s">
        <v>253</v>
      </c>
      <c r="B20" t="s">
        <v>11</v>
      </c>
      <c r="C20">
        <v>6</v>
      </c>
      <c r="D20">
        <v>63</v>
      </c>
      <c r="E20">
        <v>38</v>
      </c>
      <c r="F20">
        <v>0</v>
      </c>
      <c r="G20">
        <v>19</v>
      </c>
      <c r="H20">
        <v>-1</v>
      </c>
      <c r="I20" t="s">
        <v>180</v>
      </c>
      <c r="J20">
        <v>27.44</v>
      </c>
      <c r="K20">
        <v>0</v>
      </c>
    </row>
    <row r="21" spans="1:11" x14ac:dyDescent="0.15">
      <c r="A21" t="s">
        <v>254</v>
      </c>
      <c r="B21" t="s">
        <v>10</v>
      </c>
      <c r="C21">
        <v>38</v>
      </c>
      <c r="D21">
        <v>25</v>
      </c>
      <c r="E21">
        <v>88</v>
      </c>
      <c r="F21">
        <v>0</v>
      </c>
      <c r="G21">
        <v>38</v>
      </c>
      <c r="H21">
        <v>-1</v>
      </c>
      <c r="I21" t="str">
        <f>A73</f>
        <v>S010</v>
      </c>
      <c r="J21">
        <v>27.44</v>
      </c>
      <c r="K21">
        <v>0</v>
      </c>
    </row>
    <row r="22" spans="1:11" x14ac:dyDescent="0.15">
      <c r="A22" t="s">
        <v>255</v>
      </c>
      <c r="B22" t="s">
        <v>9</v>
      </c>
      <c r="C22">
        <v>50</v>
      </c>
      <c r="D22">
        <v>0</v>
      </c>
      <c r="E22">
        <v>50</v>
      </c>
      <c r="F22">
        <v>0</v>
      </c>
      <c r="G22">
        <v>25</v>
      </c>
      <c r="H22">
        <v>-1</v>
      </c>
      <c r="I22" t="str">
        <f>A97</f>
        <v>S034</v>
      </c>
      <c r="J22">
        <v>15.68</v>
      </c>
      <c r="K22">
        <v>0</v>
      </c>
    </row>
    <row r="23" spans="1:11" x14ac:dyDescent="0.15">
      <c r="A23" t="s">
        <v>256</v>
      </c>
      <c r="B23" t="s">
        <v>8</v>
      </c>
      <c r="C23">
        <v>0</v>
      </c>
      <c r="D23">
        <v>25</v>
      </c>
      <c r="E23">
        <v>50</v>
      </c>
      <c r="F23">
        <v>0</v>
      </c>
      <c r="G23">
        <v>50</v>
      </c>
      <c r="H23">
        <v>-1</v>
      </c>
      <c r="I23">
        <v>-1</v>
      </c>
      <c r="J23">
        <v>15.68</v>
      </c>
      <c r="K23">
        <v>0</v>
      </c>
    </row>
    <row r="24" spans="1:11" x14ac:dyDescent="0.15">
      <c r="A24" t="s">
        <v>257</v>
      </c>
      <c r="B24" t="s">
        <v>120</v>
      </c>
      <c r="C24">
        <v>10</v>
      </c>
      <c r="D24">
        <v>20</v>
      </c>
      <c r="E24">
        <v>0</v>
      </c>
      <c r="F24">
        <v>0</v>
      </c>
      <c r="G24">
        <v>20</v>
      </c>
      <c r="H24">
        <v>-1</v>
      </c>
      <c r="I24">
        <v>-1</v>
      </c>
      <c r="J24">
        <v>10.11</v>
      </c>
      <c r="K24">
        <v>4</v>
      </c>
    </row>
    <row r="25" spans="1:11" x14ac:dyDescent="0.15">
      <c r="A25" t="s">
        <v>258</v>
      </c>
      <c r="B25" t="s">
        <v>7</v>
      </c>
      <c r="C25">
        <v>50</v>
      </c>
      <c r="D25">
        <v>0</v>
      </c>
      <c r="E25">
        <v>25</v>
      </c>
      <c r="F25">
        <v>0</v>
      </c>
      <c r="G25">
        <v>50</v>
      </c>
      <c r="H25">
        <v>-1</v>
      </c>
      <c r="I25" t="str">
        <f>A74</f>
        <v>S011</v>
      </c>
      <c r="J25">
        <v>15.68</v>
      </c>
      <c r="K25">
        <v>0</v>
      </c>
    </row>
    <row r="26" spans="1:11" x14ac:dyDescent="0.15">
      <c r="A26" t="s">
        <v>259</v>
      </c>
      <c r="B26" t="s">
        <v>6</v>
      </c>
      <c r="C26">
        <v>0</v>
      </c>
      <c r="D26">
        <v>25</v>
      </c>
      <c r="E26">
        <v>63</v>
      </c>
      <c r="F26">
        <v>0</v>
      </c>
      <c r="G26">
        <v>38</v>
      </c>
      <c r="H26">
        <v>-1</v>
      </c>
      <c r="I26" t="str">
        <f>A27</f>
        <v>A026</v>
      </c>
      <c r="J26">
        <v>15.68</v>
      </c>
      <c r="K26">
        <v>0</v>
      </c>
    </row>
    <row r="27" spans="1:11" x14ac:dyDescent="0.15">
      <c r="A27" t="s">
        <v>260</v>
      </c>
      <c r="B27" t="s">
        <v>5</v>
      </c>
      <c r="C27">
        <v>0</v>
      </c>
      <c r="D27">
        <v>38</v>
      </c>
      <c r="E27">
        <v>100</v>
      </c>
      <c r="F27">
        <v>0</v>
      </c>
      <c r="G27">
        <v>50</v>
      </c>
      <c r="H27" t="str">
        <f>A26</f>
        <v>A025</v>
      </c>
      <c r="I27">
        <v>-1</v>
      </c>
      <c r="J27">
        <v>7.84</v>
      </c>
      <c r="K27">
        <v>0</v>
      </c>
    </row>
    <row r="28" spans="1:11" x14ac:dyDescent="0.15">
      <c r="A28" t="s">
        <v>261</v>
      </c>
      <c r="B28" t="s">
        <v>63</v>
      </c>
      <c r="C28">
        <v>56</v>
      </c>
      <c r="D28">
        <v>0</v>
      </c>
      <c r="E28">
        <v>56</v>
      </c>
      <c r="F28">
        <v>0</v>
      </c>
      <c r="G28">
        <v>75</v>
      </c>
      <c r="H28">
        <v>-1</v>
      </c>
      <c r="I28" t="str">
        <f>A75</f>
        <v>S012</v>
      </c>
      <c r="J28">
        <v>27.44</v>
      </c>
      <c r="K28">
        <v>0</v>
      </c>
    </row>
    <row r="29" spans="1:11" x14ac:dyDescent="0.15">
      <c r="A29" t="s">
        <v>262</v>
      </c>
      <c r="B29" t="s">
        <v>64</v>
      </c>
      <c r="C29">
        <v>19</v>
      </c>
      <c r="D29">
        <v>0</v>
      </c>
      <c r="E29">
        <v>0</v>
      </c>
      <c r="F29">
        <v>0</v>
      </c>
      <c r="G29">
        <v>44</v>
      </c>
      <c r="H29">
        <v>-1</v>
      </c>
      <c r="I29" t="str">
        <f>A76</f>
        <v>S013</v>
      </c>
      <c r="J29">
        <v>15.68</v>
      </c>
      <c r="K29">
        <v>0</v>
      </c>
    </row>
    <row r="30" spans="1:11" x14ac:dyDescent="0.15">
      <c r="A30" t="s">
        <v>263</v>
      </c>
      <c r="B30" t="s">
        <v>65</v>
      </c>
      <c r="C30">
        <v>31</v>
      </c>
      <c r="D30">
        <v>31</v>
      </c>
      <c r="E30">
        <v>63</v>
      </c>
      <c r="F30">
        <v>0</v>
      </c>
      <c r="G30">
        <v>63</v>
      </c>
      <c r="H30">
        <v>-1</v>
      </c>
      <c r="I30" t="str">
        <f t="shared" ref="I30:I32" si="2">A77</f>
        <v>S014</v>
      </c>
      <c r="J30">
        <v>19.600000000000001</v>
      </c>
      <c r="K30">
        <v>0</v>
      </c>
    </row>
    <row r="31" spans="1:11" x14ac:dyDescent="0.15">
      <c r="A31" t="s">
        <v>264</v>
      </c>
      <c r="B31" t="s">
        <v>66</v>
      </c>
      <c r="C31">
        <v>0</v>
      </c>
      <c r="D31">
        <v>25</v>
      </c>
      <c r="E31">
        <v>19</v>
      </c>
      <c r="F31">
        <v>0</v>
      </c>
      <c r="G31">
        <v>19</v>
      </c>
      <c r="H31">
        <v>-1</v>
      </c>
      <c r="I31" t="str">
        <f t="shared" si="2"/>
        <v>S015</v>
      </c>
      <c r="J31">
        <v>7.84</v>
      </c>
      <c r="K31">
        <v>0</v>
      </c>
    </row>
    <row r="32" spans="1:11" x14ac:dyDescent="0.15">
      <c r="A32" t="s">
        <v>265</v>
      </c>
      <c r="B32" t="s">
        <v>67</v>
      </c>
      <c r="C32">
        <v>50</v>
      </c>
      <c r="D32">
        <v>0</v>
      </c>
      <c r="E32">
        <v>0</v>
      </c>
      <c r="F32">
        <v>0</v>
      </c>
      <c r="G32">
        <v>13</v>
      </c>
      <c r="H32">
        <v>-1</v>
      </c>
      <c r="I32" t="str">
        <f t="shared" si="2"/>
        <v>S016</v>
      </c>
      <c r="J32">
        <v>7.84</v>
      </c>
      <c r="K32">
        <v>0</v>
      </c>
    </row>
    <row r="33" spans="1:11" x14ac:dyDescent="0.15">
      <c r="A33" t="s">
        <v>266</v>
      </c>
      <c r="B33" t="s">
        <v>68</v>
      </c>
      <c r="C33">
        <v>31</v>
      </c>
      <c r="D33">
        <v>0</v>
      </c>
      <c r="E33">
        <v>31</v>
      </c>
      <c r="F33">
        <v>0</v>
      </c>
      <c r="G33">
        <v>63</v>
      </c>
      <c r="H33">
        <v>-1</v>
      </c>
      <c r="I33" t="str">
        <f>A80</f>
        <v>S017</v>
      </c>
      <c r="J33">
        <v>27.44</v>
      </c>
      <c r="K33">
        <v>0</v>
      </c>
    </row>
    <row r="34" spans="1:11" x14ac:dyDescent="0.15">
      <c r="A34" t="s">
        <v>267</v>
      </c>
      <c r="B34" t="s">
        <v>69</v>
      </c>
      <c r="C34">
        <v>31</v>
      </c>
      <c r="D34">
        <v>0</v>
      </c>
      <c r="E34">
        <v>63</v>
      </c>
      <c r="F34">
        <v>0</v>
      </c>
      <c r="G34">
        <v>31</v>
      </c>
      <c r="H34">
        <v>-1</v>
      </c>
      <c r="I34" t="str">
        <f>A81</f>
        <v>S018</v>
      </c>
      <c r="J34">
        <v>27.44</v>
      </c>
      <c r="K34">
        <v>0</v>
      </c>
    </row>
    <row r="35" spans="1:11" x14ac:dyDescent="0.15">
      <c r="A35" t="s">
        <v>268</v>
      </c>
      <c r="B35" t="s">
        <v>70</v>
      </c>
      <c r="C35">
        <v>25</v>
      </c>
      <c r="D35">
        <v>0</v>
      </c>
      <c r="E35">
        <v>0</v>
      </c>
      <c r="F35">
        <v>0</v>
      </c>
      <c r="G35">
        <v>100</v>
      </c>
      <c r="H35">
        <v>-1</v>
      </c>
      <c r="I35" t="str">
        <f>A82</f>
        <v>S019</v>
      </c>
      <c r="J35">
        <v>15.68</v>
      </c>
      <c r="K35">
        <v>0</v>
      </c>
    </row>
    <row r="36" spans="1:11" x14ac:dyDescent="0.15">
      <c r="A36" t="s">
        <v>269</v>
      </c>
      <c r="B36" t="s">
        <v>71</v>
      </c>
      <c r="C36">
        <v>63</v>
      </c>
      <c r="D36">
        <v>25</v>
      </c>
      <c r="E36">
        <v>38</v>
      </c>
      <c r="F36">
        <v>0</v>
      </c>
      <c r="G36">
        <v>0</v>
      </c>
      <c r="H36">
        <v>-1</v>
      </c>
      <c r="I36" t="str">
        <f>A89</f>
        <v>S026</v>
      </c>
      <c r="J36">
        <v>27.44</v>
      </c>
      <c r="K36">
        <v>0</v>
      </c>
    </row>
    <row r="37" spans="1:11" x14ac:dyDescent="0.15">
      <c r="A37" t="s">
        <v>270</v>
      </c>
      <c r="B37" t="s">
        <v>72</v>
      </c>
      <c r="C37">
        <v>63</v>
      </c>
      <c r="D37">
        <v>25</v>
      </c>
      <c r="E37">
        <v>38</v>
      </c>
      <c r="F37">
        <v>0</v>
      </c>
      <c r="G37">
        <v>0</v>
      </c>
      <c r="H37">
        <v>-1</v>
      </c>
      <c r="I37" t="str">
        <f>A99</f>
        <v>S036</v>
      </c>
      <c r="J37">
        <v>27.44</v>
      </c>
      <c r="K37">
        <v>0</v>
      </c>
    </row>
    <row r="38" spans="1:11" x14ac:dyDescent="0.15">
      <c r="A38" t="s">
        <v>271</v>
      </c>
      <c r="B38" t="s">
        <v>92</v>
      </c>
      <c r="C38">
        <v>63</v>
      </c>
      <c r="D38">
        <v>0</v>
      </c>
      <c r="E38">
        <v>63</v>
      </c>
      <c r="F38">
        <v>0</v>
      </c>
      <c r="G38">
        <v>63</v>
      </c>
      <c r="H38">
        <v>-1</v>
      </c>
      <c r="I38">
        <v>-1</v>
      </c>
      <c r="J38">
        <v>19.600000000000001</v>
      </c>
      <c r="K38">
        <v>0</v>
      </c>
    </row>
    <row r="39" spans="1:11" x14ac:dyDescent="0.15">
      <c r="A39" t="s">
        <v>272</v>
      </c>
      <c r="B39" t="s">
        <v>73</v>
      </c>
      <c r="C39">
        <v>0</v>
      </c>
      <c r="D39">
        <v>25</v>
      </c>
      <c r="E39">
        <v>0</v>
      </c>
      <c r="F39">
        <v>0</v>
      </c>
      <c r="G39">
        <v>38</v>
      </c>
      <c r="H39">
        <v>-1</v>
      </c>
      <c r="I39" t="str">
        <f>A90</f>
        <v>S027</v>
      </c>
      <c r="J39">
        <v>0</v>
      </c>
      <c r="K39">
        <v>0</v>
      </c>
    </row>
    <row r="40" spans="1:11" x14ac:dyDescent="0.15">
      <c r="A40" t="s">
        <v>273</v>
      </c>
      <c r="B40" t="s">
        <v>91</v>
      </c>
      <c r="C40">
        <v>0</v>
      </c>
      <c r="D40">
        <v>0</v>
      </c>
      <c r="E40">
        <v>0</v>
      </c>
      <c r="F40">
        <v>0</v>
      </c>
      <c r="G40">
        <v>0</v>
      </c>
      <c r="H40">
        <v>-1</v>
      </c>
      <c r="I40">
        <v>-1</v>
      </c>
      <c r="J40">
        <v>58.8</v>
      </c>
      <c r="K40">
        <v>0</v>
      </c>
    </row>
    <row r="41" spans="1:11" x14ac:dyDescent="0.15">
      <c r="A41" t="s">
        <v>274</v>
      </c>
      <c r="B41" t="s">
        <v>74</v>
      </c>
      <c r="C41">
        <v>63</v>
      </c>
      <c r="D41">
        <v>63</v>
      </c>
      <c r="E41">
        <v>63</v>
      </c>
      <c r="F41">
        <v>0</v>
      </c>
      <c r="G41">
        <v>0</v>
      </c>
      <c r="H41">
        <v>-1</v>
      </c>
      <c r="I41" t="str">
        <f>A83</f>
        <v>S020</v>
      </c>
      <c r="J41">
        <v>15.68</v>
      </c>
      <c r="K41">
        <v>0</v>
      </c>
    </row>
    <row r="42" spans="1:11" x14ac:dyDescent="0.15">
      <c r="A42" t="s">
        <v>275</v>
      </c>
      <c r="B42" t="s">
        <v>75</v>
      </c>
      <c r="C42">
        <v>0</v>
      </c>
      <c r="D42">
        <v>19</v>
      </c>
      <c r="E42">
        <v>94</v>
      </c>
      <c r="F42">
        <v>0</v>
      </c>
      <c r="G42">
        <v>13</v>
      </c>
      <c r="H42">
        <v>-1</v>
      </c>
      <c r="I42" t="str">
        <f>A84</f>
        <v>S021</v>
      </c>
      <c r="J42">
        <v>15.68</v>
      </c>
      <c r="K42">
        <v>0</v>
      </c>
    </row>
    <row r="43" spans="1:11" x14ac:dyDescent="0.15">
      <c r="A43" t="s">
        <v>276</v>
      </c>
      <c r="B43" t="s">
        <v>76</v>
      </c>
      <c r="C43">
        <v>0</v>
      </c>
      <c r="D43">
        <v>50</v>
      </c>
      <c r="E43">
        <v>50</v>
      </c>
      <c r="F43">
        <v>0</v>
      </c>
      <c r="G43">
        <v>25</v>
      </c>
      <c r="H43">
        <v>-1</v>
      </c>
      <c r="I43">
        <v>-1</v>
      </c>
      <c r="J43">
        <v>15.68</v>
      </c>
      <c r="K43">
        <v>0</v>
      </c>
    </row>
    <row r="44" spans="1:11" x14ac:dyDescent="0.15">
      <c r="A44" t="s">
        <v>277</v>
      </c>
      <c r="B44" t="s">
        <v>77</v>
      </c>
      <c r="C44">
        <v>43</v>
      </c>
      <c r="D44">
        <v>0</v>
      </c>
      <c r="E44">
        <v>10</v>
      </c>
      <c r="F44">
        <v>0</v>
      </c>
      <c r="G44">
        <v>10</v>
      </c>
      <c r="H44">
        <v>-1</v>
      </c>
      <c r="I44" t="str">
        <f>A85</f>
        <v>S022</v>
      </c>
      <c r="J44">
        <v>7.84</v>
      </c>
      <c r="K44">
        <v>0</v>
      </c>
    </row>
    <row r="45" spans="1:11" x14ac:dyDescent="0.15">
      <c r="A45" t="s">
        <v>278</v>
      </c>
      <c r="B45" t="s">
        <v>78</v>
      </c>
      <c r="C45">
        <v>0</v>
      </c>
      <c r="D45">
        <v>44</v>
      </c>
      <c r="E45">
        <v>19</v>
      </c>
      <c r="F45">
        <v>0</v>
      </c>
      <c r="G45">
        <v>0</v>
      </c>
      <c r="H45">
        <v>-1</v>
      </c>
      <c r="I45">
        <v>-1</v>
      </c>
      <c r="J45">
        <v>7.84</v>
      </c>
      <c r="K45">
        <v>0</v>
      </c>
    </row>
    <row r="46" spans="1:11" x14ac:dyDescent="0.15">
      <c r="A46" t="s">
        <v>279</v>
      </c>
      <c r="B46" t="s">
        <v>79</v>
      </c>
      <c r="C46">
        <v>31</v>
      </c>
      <c r="D46">
        <v>0</v>
      </c>
      <c r="E46">
        <v>69</v>
      </c>
      <c r="F46">
        <v>0</v>
      </c>
      <c r="G46">
        <v>88</v>
      </c>
      <c r="H46">
        <v>-1</v>
      </c>
      <c r="I46">
        <v>-1</v>
      </c>
      <c r="J46">
        <v>19.600000000000001</v>
      </c>
      <c r="K46">
        <v>0</v>
      </c>
    </row>
    <row r="47" spans="1:11" x14ac:dyDescent="0.15">
      <c r="A47" t="s">
        <v>280</v>
      </c>
      <c r="B47" t="s">
        <v>173</v>
      </c>
      <c r="C47">
        <v>25</v>
      </c>
      <c r="D47">
        <v>0</v>
      </c>
      <c r="E47">
        <v>50</v>
      </c>
      <c r="F47">
        <v>0</v>
      </c>
      <c r="G47">
        <v>50</v>
      </c>
      <c r="H47">
        <v>-1</v>
      </c>
      <c r="I47">
        <v>-1</v>
      </c>
      <c r="J47">
        <v>15.68</v>
      </c>
      <c r="K47">
        <v>0</v>
      </c>
    </row>
    <row r="48" spans="1:11" x14ac:dyDescent="0.15">
      <c r="A48" t="s">
        <v>281</v>
      </c>
      <c r="B48" t="s">
        <v>174</v>
      </c>
      <c r="C48">
        <v>0</v>
      </c>
      <c r="D48">
        <v>0</v>
      </c>
      <c r="E48">
        <v>13</v>
      </c>
      <c r="F48">
        <v>0</v>
      </c>
      <c r="G48">
        <v>50</v>
      </c>
      <c r="H48">
        <v>-1</v>
      </c>
      <c r="I48">
        <v>-1</v>
      </c>
      <c r="J48">
        <v>3.92</v>
      </c>
      <c r="K48">
        <v>4</v>
      </c>
    </row>
    <row r="49" spans="1:11" x14ac:dyDescent="0.15">
      <c r="A49" t="s">
        <v>282</v>
      </c>
      <c r="B49" t="s">
        <v>151</v>
      </c>
      <c r="C49">
        <v>21</v>
      </c>
      <c r="D49">
        <v>0</v>
      </c>
      <c r="E49">
        <v>88</v>
      </c>
      <c r="F49">
        <v>0</v>
      </c>
      <c r="G49">
        <v>80</v>
      </c>
      <c r="H49">
        <v>-1</v>
      </c>
      <c r="I49" t="str">
        <f>A94</f>
        <v>S031</v>
      </c>
      <c r="J49">
        <v>19.600000000000001</v>
      </c>
      <c r="K49">
        <v>0</v>
      </c>
    </row>
    <row r="50" spans="1:11" x14ac:dyDescent="0.15">
      <c r="A50" t="s">
        <v>283</v>
      </c>
      <c r="B50" t="s">
        <v>176</v>
      </c>
      <c r="C50">
        <v>20</v>
      </c>
      <c r="D50">
        <v>0</v>
      </c>
      <c r="E50">
        <v>40</v>
      </c>
      <c r="F50">
        <v>0</v>
      </c>
      <c r="G50">
        <v>65</v>
      </c>
      <c r="H50">
        <v>-1</v>
      </c>
      <c r="I50">
        <v>-1</v>
      </c>
      <c r="J50">
        <v>15.68</v>
      </c>
      <c r="K50">
        <v>0</v>
      </c>
    </row>
    <row r="51" spans="1:11" x14ac:dyDescent="0.15">
      <c r="A51" t="s">
        <v>284</v>
      </c>
      <c r="B51" t="s">
        <v>177</v>
      </c>
      <c r="C51">
        <v>31</v>
      </c>
      <c r="D51">
        <v>83</v>
      </c>
      <c r="E51">
        <v>31</v>
      </c>
      <c r="F51">
        <v>0</v>
      </c>
      <c r="G51">
        <v>43</v>
      </c>
      <c r="H51">
        <v>-1</v>
      </c>
      <c r="I51">
        <v>-1</v>
      </c>
      <c r="J51">
        <v>31.36</v>
      </c>
      <c r="K51">
        <v>0</v>
      </c>
    </row>
    <row r="52" spans="1:11" x14ac:dyDescent="0.15">
      <c r="A52" t="s">
        <v>285</v>
      </c>
      <c r="B52" t="s">
        <v>178</v>
      </c>
      <c r="C52">
        <v>5</v>
      </c>
      <c r="D52">
        <v>53</v>
      </c>
      <c r="E52">
        <v>46</v>
      </c>
      <c r="F52">
        <v>0</v>
      </c>
      <c r="G52">
        <v>84</v>
      </c>
      <c r="H52">
        <v>-1</v>
      </c>
      <c r="I52" t="str">
        <f>A92</f>
        <v>S029</v>
      </c>
      <c r="J52">
        <v>27.44</v>
      </c>
      <c r="K52">
        <v>0</v>
      </c>
    </row>
    <row r="53" spans="1:11" x14ac:dyDescent="0.15">
      <c r="A53" t="s">
        <v>286</v>
      </c>
      <c r="B53" t="s">
        <v>187</v>
      </c>
      <c r="C53">
        <v>38</v>
      </c>
      <c r="D53">
        <v>25</v>
      </c>
      <c r="E53">
        <v>63</v>
      </c>
      <c r="F53">
        <v>0</v>
      </c>
      <c r="G53">
        <v>0</v>
      </c>
      <c r="H53">
        <v>-1</v>
      </c>
      <c r="I53" t="str">
        <f>A91</f>
        <v>S028</v>
      </c>
      <c r="J53">
        <v>27.44</v>
      </c>
      <c r="K53">
        <v>0</v>
      </c>
    </row>
    <row r="54" spans="1:11" x14ac:dyDescent="0.15">
      <c r="A54" t="s">
        <v>287</v>
      </c>
      <c r="B54" t="s">
        <v>192</v>
      </c>
      <c r="C54">
        <v>40</v>
      </c>
      <c r="D54">
        <v>0</v>
      </c>
      <c r="E54">
        <v>20</v>
      </c>
      <c r="F54">
        <v>0</v>
      </c>
      <c r="G54">
        <v>65</v>
      </c>
      <c r="H54">
        <v>-1</v>
      </c>
      <c r="I54">
        <v>-1</v>
      </c>
      <c r="J54">
        <v>15.68</v>
      </c>
      <c r="K54">
        <v>0</v>
      </c>
    </row>
    <row r="55" spans="1:11" x14ac:dyDescent="0.15">
      <c r="A55" t="s">
        <v>288</v>
      </c>
      <c r="B55" t="s">
        <v>196</v>
      </c>
      <c r="C55">
        <v>46</v>
      </c>
      <c r="D55">
        <v>25</v>
      </c>
      <c r="E55">
        <v>35</v>
      </c>
      <c r="F55">
        <v>0</v>
      </c>
      <c r="G55">
        <v>20</v>
      </c>
      <c r="H55">
        <v>-1</v>
      </c>
      <c r="I55">
        <v>-1</v>
      </c>
      <c r="J55">
        <v>15.68</v>
      </c>
      <c r="K55">
        <v>0</v>
      </c>
    </row>
    <row r="56" spans="1:11" x14ac:dyDescent="0.15">
      <c r="A56" t="s">
        <v>289</v>
      </c>
      <c r="B56" t="s">
        <v>197</v>
      </c>
      <c r="C56">
        <v>20</v>
      </c>
      <c r="D56">
        <v>0</v>
      </c>
      <c r="E56">
        <v>20</v>
      </c>
      <c r="F56">
        <v>0</v>
      </c>
      <c r="G56">
        <v>86</v>
      </c>
      <c r="H56">
        <v>-1</v>
      </c>
      <c r="I56">
        <v>-1</v>
      </c>
      <c r="J56">
        <v>15.68</v>
      </c>
      <c r="K56">
        <v>0</v>
      </c>
    </row>
    <row r="57" spans="1:11" x14ac:dyDescent="0.15">
      <c r="A57" t="s">
        <v>290</v>
      </c>
      <c r="B57" t="s">
        <v>205</v>
      </c>
      <c r="C57">
        <v>10</v>
      </c>
      <c r="D57">
        <v>40</v>
      </c>
      <c r="E57">
        <v>100</v>
      </c>
      <c r="F57">
        <v>0</v>
      </c>
      <c r="G57">
        <v>100</v>
      </c>
      <c r="H57">
        <v>-1</v>
      </c>
      <c r="I57">
        <v>-1</v>
      </c>
      <c r="J57">
        <v>39.200000000000003</v>
      </c>
      <c r="K57">
        <v>0</v>
      </c>
    </row>
    <row r="58" spans="1:11" x14ac:dyDescent="0.15">
      <c r="A58" t="s">
        <v>291</v>
      </c>
      <c r="B58" t="s">
        <v>206</v>
      </c>
      <c r="C58">
        <v>18</v>
      </c>
      <c r="D58">
        <v>18</v>
      </c>
      <c r="E58">
        <v>138</v>
      </c>
      <c r="F58">
        <v>0</v>
      </c>
      <c r="G58">
        <v>12</v>
      </c>
      <c r="H58">
        <v>-1</v>
      </c>
      <c r="I58" t="str">
        <f>A59</f>
        <v>A058</v>
      </c>
      <c r="J58">
        <v>39.200000000000003</v>
      </c>
      <c r="K58">
        <v>0</v>
      </c>
    </row>
    <row r="59" spans="1:11" x14ac:dyDescent="0.15">
      <c r="A59" t="s">
        <v>292</v>
      </c>
      <c r="B59" t="s">
        <v>207</v>
      </c>
      <c r="C59">
        <v>24</v>
      </c>
      <c r="D59">
        <v>24</v>
      </c>
      <c r="E59">
        <v>184</v>
      </c>
      <c r="F59">
        <v>0</v>
      </c>
      <c r="G59">
        <v>16</v>
      </c>
      <c r="H59" t="str">
        <f>A58</f>
        <v>A057</v>
      </c>
      <c r="I59" t="str">
        <f>A96</f>
        <v>S033</v>
      </c>
      <c r="J59">
        <v>19.600000000000001</v>
      </c>
      <c r="K59">
        <v>0</v>
      </c>
    </row>
    <row r="60" spans="1:11" x14ac:dyDescent="0.15">
      <c r="A60" t="s">
        <v>293</v>
      </c>
      <c r="B60" t="s">
        <v>213</v>
      </c>
      <c r="C60">
        <v>0</v>
      </c>
      <c r="D60">
        <v>0</v>
      </c>
      <c r="E60">
        <v>32</v>
      </c>
      <c r="F60">
        <v>0</v>
      </c>
      <c r="G60">
        <v>32</v>
      </c>
      <c r="H60">
        <v>-1</v>
      </c>
      <c r="I60">
        <v>-1</v>
      </c>
      <c r="J60">
        <v>7.84</v>
      </c>
      <c r="K60">
        <v>0</v>
      </c>
    </row>
    <row r="61" spans="1:11" x14ac:dyDescent="0.15">
      <c r="A61" t="s">
        <v>294</v>
      </c>
      <c r="B61" t="s">
        <v>216</v>
      </c>
      <c r="C61">
        <v>35</v>
      </c>
      <c r="D61">
        <v>0</v>
      </c>
      <c r="E61">
        <v>35</v>
      </c>
      <c r="F61">
        <v>0</v>
      </c>
      <c r="G61">
        <v>55</v>
      </c>
      <c r="H61">
        <v>-1</v>
      </c>
      <c r="I61" t="str">
        <f>A100</f>
        <v>S037</v>
      </c>
      <c r="J61">
        <v>15.68</v>
      </c>
      <c r="K61">
        <v>0</v>
      </c>
    </row>
    <row r="62" spans="1:11" x14ac:dyDescent="0.15">
      <c r="A62" t="s">
        <v>295</v>
      </c>
      <c r="B62" t="s">
        <v>217</v>
      </c>
      <c r="C62">
        <v>56</v>
      </c>
      <c r="D62">
        <v>0</v>
      </c>
      <c r="E62">
        <v>38</v>
      </c>
      <c r="F62">
        <v>0</v>
      </c>
      <c r="G62">
        <v>94</v>
      </c>
      <c r="H62">
        <v>-1</v>
      </c>
      <c r="I62" t="str">
        <f>A101</f>
        <v>S038</v>
      </c>
      <c r="J62">
        <v>27.44</v>
      </c>
      <c r="K62">
        <v>0</v>
      </c>
    </row>
    <row r="63" spans="1:11" x14ac:dyDescent="0.15">
      <c r="A63" t="s">
        <v>296</v>
      </c>
      <c r="B63" t="s">
        <v>218</v>
      </c>
      <c r="C63">
        <v>75</v>
      </c>
      <c r="D63">
        <v>75</v>
      </c>
      <c r="E63">
        <v>38</v>
      </c>
      <c r="F63">
        <v>0</v>
      </c>
      <c r="G63">
        <v>0</v>
      </c>
      <c r="H63">
        <v>-1</v>
      </c>
      <c r="I63">
        <v>-1</v>
      </c>
      <c r="J63">
        <v>27.44</v>
      </c>
      <c r="K63">
        <v>0</v>
      </c>
    </row>
    <row r="64" spans="1:11" x14ac:dyDescent="0.15">
      <c r="A64" t="s">
        <v>297</v>
      </c>
      <c r="B64" t="s">
        <v>93</v>
      </c>
      <c r="C64">
        <v>0</v>
      </c>
      <c r="D64">
        <v>35</v>
      </c>
      <c r="E64">
        <v>70</v>
      </c>
      <c r="F64">
        <v>0</v>
      </c>
      <c r="G64">
        <v>245</v>
      </c>
      <c r="H64" t="str">
        <f>A3</f>
        <v>A002</v>
      </c>
      <c r="I64">
        <v>-1</v>
      </c>
      <c r="J64">
        <v>39.200000000000003</v>
      </c>
      <c r="K64">
        <v>1</v>
      </c>
    </row>
    <row r="65" spans="1:11" x14ac:dyDescent="0.15">
      <c r="A65" t="s">
        <v>298</v>
      </c>
      <c r="B65" t="s">
        <v>94</v>
      </c>
      <c r="C65">
        <v>112</v>
      </c>
      <c r="D65">
        <v>70</v>
      </c>
      <c r="E65">
        <v>168</v>
      </c>
      <c r="F65">
        <v>0</v>
      </c>
      <c r="G65">
        <v>0</v>
      </c>
      <c r="H65" t="str">
        <f>A5</f>
        <v>A004</v>
      </c>
      <c r="I65">
        <v>-1</v>
      </c>
      <c r="J65">
        <v>39.200000000000003</v>
      </c>
      <c r="K65">
        <v>1</v>
      </c>
    </row>
    <row r="66" spans="1:11" x14ac:dyDescent="0.15">
      <c r="A66" t="s">
        <v>299</v>
      </c>
      <c r="B66" t="s">
        <v>105</v>
      </c>
      <c r="C66">
        <v>0</v>
      </c>
      <c r="D66">
        <v>252</v>
      </c>
      <c r="E66">
        <v>112</v>
      </c>
      <c r="F66">
        <v>0</v>
      </c>
      <c r="G66">
        <v>98</v>
      </c>
      <c r="H66" t="str">
        <f>A7</f>
        <v>A006</v>
      </c>
      <c r="I66">
        <v>-1</v>
      </c>
      <c r="J66">
        <v>66.64</v>
      </c>
      <c r="K66">
        <v>1</v>
      </c>
    </row>
    <row r="67" spans="1:11" x14ac:dyDescent="0.15">
      <c r="A67" t="s">
        <v>300</v>
      </c>
      <c r="B67" t="s">
        <v>103</v>
      </c>
      <c r="C67">
        <v>0</v>
      </c>
      <c r="D67">
        <v>168</v>
      </c>
      <c r="E67">
        <v>112</v>
      </c>
      <c r="F67">
        <v>0</v>
      </c>
      <c r="G67">
        <v>70</v>
      </c>
      <c r="H67" t="str">
        <f>A9</f>
        <v>A008</v>
      </c>
      <c r="I67">
        <v>-1</v>
      </c>
      <c r="J67">
        <v>62.72</v>
      </c>
      <c r="K67">
        <v>1</v>
      </c>
    </row>
    <row r="68" spans="1:11" x14ac:dyDescent="0.15">
      <c r="A68" t="s">
        <v>301</v>
      </c>
      <c r="B68" t="s">
        <v>121</v>
      </c>
      <c r="C68">
        <v>112</v>
      </c>
      <c r="D68">
        <v>112</v>
      </c>
      <c r="E68">
        <v>112</v>
      </c>
      <c r="F68">
        <v>0</v>
      </c>
      <c r="G68">
        <v>0</v>
      </c>
      <c r="H68" t="str">
        <f>A11</f>
        <v>A010</v>
      </c>
      <c r="I68">
        <v>-1</v>
      </c>
      <c r="J68">
        <v>62.72</v>
      </c>
      <c r="K68">
        <v>1</v>
      </c>
    </row>
    <row r="69" spans="1:11" x14ac:dyDescent="0.15">
      <c r="A69" t="s">
        <v>302</v>
      </c>
      <c r="B69" t="s">
        <v>107</v>
      </c>
      <c r="C69">
        <v>245</v>
      </c>
      <c r="D69">
        <v>0</v>
      </c>
      <c r="E69">
        <v>0</v>
      </c>
      <c r="F69">
        <v>0</v>
      </c>
      <c r="G69">
        <v>105</v>
      </c>
      <c r="H69" t="str">
        <f>A13</f>
        <v>A012</v>
      </c>
      <c r="I69">
        <v>-1</v>
      </c>
      <c r="J69">
        <v>29.71</v>
      </c>
      <c r="K69">
        <v>1</v>
      </c>
    </row>
    <row r="70" spans="1:11" x14ac:dyDescent="0.15">
      <c r="A70" t="s">
        <v>303</v>
      </c>
      <c r="B70" t="s">
        <v>109</v>
      </c>
      <c r="C70">
        <v>21</v>
      </c>
      <c r="D70">
        <v>63</v>
      </c>
      <c r="E70">
        <v>175</v>
      </c>
      <c r="F70">
        <v>0</v>
      </c>
      <c r="G70">
        <v>175</v>
      </c>
      <c r="H70" t="str">
        <f>A15</f>
        <v>A014</v>
      </c>
      <c r="I70">
        <v>-1</v>
      </c>
      <c r="J70">
        <v>37.24</v>
      </c>
      <c r="K70">
        <v>1</v>
      </c>
    </row>
    <row r="71" spans="1:11" x14ac:dyDescent="0.15">
      <c r="A71" t="s">
        <v>304</v>
      </c>
      <c r="B71" t="s">
        <v>98</v>
      </c>
      <c r="C71">
        <v>13</v>
      </c>
      <c r="D71">
        <v>25</v>
      </c>
      <c r="E71">
        <v>150</v>
      </c>
      <c r="F71">
        <v>0</v>
      </c>
      <c r="G71">
        <v>63</v>
      </c>
      <c r="H71" t="str">
        <f>A16</f>
        <v>A015</v>
      </c>
      <c r="I71">
        <v>-1</v>
      </c>
      <c r="J71">
        <v>39.200000000000003</v>
      </c>
      <c r="K71">
        <v>1</v>
      </c>
    </row>
    <row r="72" spans="1:11" x14ac:dyDescent="0.15">
      <c r="A72" t="s">
        <v>305</v>
      </c>
      <c r="B72" t="s">
        <v>99</v>
      </c>
      <c r="C72">
        <v>188</v>
      </c>
      <c r="D72">
        <v>13</v>
      </c>
      <c r="E72">
        <v>50</v>
      </c>
      <c r="F72">
        <v>0</v>
      </c>
      <c r="G72">
        <v>0</v>
      </c>
      <c r="H72" t="str">
        <f>A17</f>
        <v>A016</v>
      </c>
      <c r="I72">
        <v>-1</v>
      </c>
      <c r="J72">
        <v>39.200000000000003</v>
      </c>
      <c r="K72">
        <v>1</v>
      </c>
    </row>
    <row r="73" spans="1:11" x14ac:dyDescent="0.15">
      <c r="A73" t="s">
        <v>306</v>
      </c>
      <c r="B73" t="s">
        <v>95</v>
      </c>
      <c r="C73">
        <v>38</v>
      </c>
      <c r="D73">
        <v>25</v>
      </c>
      <c r="E73">
        <v>88</v>
      </c>
      <c r="F73">
        <v>0</v>
      </c>
      <c r="G73">
        <v>38</v>
      </c>
      <c r="H73" t="str">
        <f>A21</f>
        <v>A020</v>
      </c>
      <c r="I73">
        <v>-1</v>
      </c>
      <c r="J73">
        <v>70.56</v>
      </c>
      <c r="K73">
        <v>1</v>
      </c>
    </row>
    <row r="74" spans="1:11" x14ac:dyDescent="0.15">
      <c r="A74" t="s">
        <v>307</v>
      </c>
      <c r="B74" t="s">
        <v>124</v>
      </c>
      <c r="C74">
        <v>50</v>
      </c>
      <c r="D74">
        <v>0</v>
      </c>
      <c r="E74">
        <v>25</v>
      </c>
      <c r="F74">
        <v>0</v>
      </c>
      <c r="G74">
        <v>50</v>
      </c>
      <c r="H74" t="str">
        <f>A25</f>
        <v>A024</v>
      </c>
      <c r="I74">
        <v>-1</v>
      </c>
      <c r="J74">
        <v>62.72</v>
      </c>
      <c r="K74">
        <v>1</v>
      </c>
    </row>
    <row r="75" spans="1:11" x14ac:dyDescent="0.15">
      <c r="A75" t="s">
        <v>308</v>
      </c>
      <c r="B75" t="s">
        <v>101</v>
      </c>
      <c r="C75">
        <v>56</v>
      </c>
      <c r="D75">
        <v>0</v>
      </c>
      <c r="E75">
        <v>56</v>
      </c>
      <c r="F75">
        <v>0</v>
      </c>
      <c r="G75">
        <v>75</v>
      </c>
      <c r="H75" t="str">
        <f>A28</f>
        <v>A027</v>
      </c>
      <c r="I75">
        <v>-1</v>
      </c>
      <c r="J75">
        <v>70.56</v>
      </c>
      <c r="K75">
        <v>1</v>
      </c>
    </row>
    <row r="76" spans="1:11" x14ac:dyDescent="0.15">
      <c r="A76" t="s">
        <v>309</v>
      </c>
      <c r="B76" t="s">
        <v>100</v>
      </c>
      <c r="C76">
        <v>19</v>
      </c>
      <c r="D76">
        <v>0</v>
      </c>
      <c r="E76">
        <v>0</v>
      </c>
      <c r="F76">
        <v>0</v>
      </c>
      <c r="G76">
        <v>44</v>
      </c>
      <c r="H76" t="str">
        <f>A29</f>
        <v>A028</v>
      </c>
      <c r="I76">
        <v>-1</v>
      </c>
      <c r="J76">
        <v>62.72</v>
      </c>
      <c r="K76">
        <v>1</v>
      </c>
    </row>
    <row r="77" spans="1:11" x14ac:dyDescent="0.15">
      <c r="A77" t="s">
        <v>310</v>
      </c>
      <c r="B77" t="s">
        <v>108</v>
      </c>
      <c r="C77">
        <v>31</v>
      </c>
      <c r="D77">
        <v>31</v>
      </c>
      <c r="E77">
        <v>63</v>
      </c>
      <c r="F77">
        <v>0</v>
      </c>
      <c r="G77">
        <v>63</v>
      </c>
      <c r="H77" t="str">
        <f t="shared" ref="H77" si="3">A30</f>
        <v>A029</v>
      </c>
      <c r="I77">
        <v>-1</v>
      </c>
      <c r="J77">
        <v>78.400000000000006</v>
      </c>
      <c r="K77">
        <v>1</v>
      </c>
    </row>
    <row r="78" spans="1:11" x14ac:dyDescent="0.15">
      <c r="A78" t="s">
        <v>311</v>
      </c>
      <c r="B78" t="s">
        <v>104</v>
      </c>
      <c r="C78">
        <v>0</v>
      </c>
      <c r="D78">
        <v>25</v>
      </c>
      <c r="E78">
        <v>19</v>
      </c>
      <c r="F78">
        <v>0</v>
      </c>
      <c r="G78">
        <v>19</v>
      </c>
      <c r="H78" t="str">
        <f>A31</f>
        <v>A030</v>
      </c>
      <c r="I78">
        <v>-1</v>
      </c>
      <c r="J78">
        <v>70.56</v>
      </c>
      <c r="K78">
        <v>1</v>
      </c>
    </row>
    <row r="79" spans="1:11" x14ac:dyDescent="0.15">
      <c r="A79" t="s">
        <v>312</v>
      </c>
      <c r="B79" t="s">
        <v>102</v>
      </c>
      <c r="C79">
        <v>50</v>
      </c>
      <c r="D79">
        <v>0</v>
      </c>
      <c r="E79">
        <v>0</v>
      </c>
      <c r="F79">
        <v>0</v>
      </c>
      <c r="G79">
        <v>13</v>
      </c>
      <c r="H79" t="str">
        <f>A32</f>
        <v>A031</v>
      </c>
      <c r="I79">
        <v>-1</v>
      </c>
      <c r="J79">
        <v>70.56</v>
      </c>
      <c r="K79">
        <v>1</v>
      </c>
    </row>
    <row r="80" spans="1:11" x14ac:dyDescent="0.15">
      <c r="A80" t="s">
        <v>313</v>
      </c>
      <c r="B80" t="s">
        <v>122</v>
      </c>
      <c r="C80">
        <v>31</v>
      </c>
      <c r="D80">
        <v>0</v>
      </c>
      <c r="E80">
        <v>31</v>
      </c>
      <c r="F80">
        <v>0</v>
      </c>
      <c r="G80">
        <v>63</v>
      </c>
      <c r="H80" t="str">
        <f>A33</f>
        <v>A032</v>
      </c>
      <c r="I80">
        <v>-1</v>
      </c>
      <c r="J80">
        <v>50.96</v>
      </c>
      <c r="K80">
        <v>1</v>
      </c>
    </row>
    <row r="81" spans="1:11" x14ac:dyDescent="0.15">
      <c r="A81" t="s">
        <v>314</v>
      </c>
      <c r="B81" t="s">
        <v>97</v>
      </c>
      <c r="C81">
        <v>31</v>
      </c>
      <c r="D81">
        <v>0</v>
      </c>
      <c r="E81">
        <v>63</v>
      </c>
      <c r="F81">
        <v>0</v>
      </c>
      <c r="G81">
        <v>31</v>
      </c>
      <c r="H81" t="str">
        <f>A34</f>
        <v>A033</v>
      </c>
      <c r="I81">
        <v>-1</v>
      </c>
      <c r="J81">
        <v>50.96</v>
      </c>
      <c r="K81">
        <v>1</v>
      </c>
    </row>
    <row r="82" spans="1:11" x14ac:dyDescent="0.15">
      <c r="A82" t="s">
        <v>315</v>
      </c>
      <c r="B82" t="s">
        <v>175</v>
      </c>
      <c r="C82">
        <v>38</v>
      </c>
      <c r="D82">
        <v>0</v>
      </c>
      <c r="E82">
        <v>0</v>
      </c>
      <c r="F82">
        <v>0</v>
      </c>
      <c r="G82">
        <v>150</v>
      </c>
      <c r="H82" t="str">
        <f>A35</f>
        <v>A034</v>
      </c>
      <c r="I82">
        <v>-1</v>
      </c>
      <c r="J82">
        <v>62.72</v>
      </c>
      <c r="K82">
        <v>1</v>
      </c>
    </row>
    <row r="83" spans="1:11" x14ac:dyDescent="0.15">
      <c r="A83" t="s">
        <v>316</v>
      </c>
      <c r="B83" t="s">
        <v>111</v>
      </c>
      <c r="C83">
        <v>63</v>
      </c>
      <c r="D83">
        <v>63</v>
      </c>
      <c r="E83">
        <v>63</v>
      </c>
      <c r="F83">
        <v>0</v>
      </c>
      <c r="G83">
        <v>0</v>
      </c>
      <c r="H83" t="str">
        <f>A41</f>
        <v>A040</v>
      </c>
      <c r="I83">
        <v>-1</v>
      </c>
      <c r="J83">
        <v>62.72</v>
      </c>
      <c r="K83">
        <v>1</v>
      </c>
    </row>
    <row r="84" spans="1:11" x14ac:dyDescent="0.15">
      <c r="A84" t="s">
        <v>317</v>
      </c>
      <c r="B84" t="s">
        <v>96</v>
      </c>
      <c r="C84">
        <v>0</v>
      </c>
      <c r="D84">
        <v>19</v>
      </c>
      <c r="E84">
        <v>94</v>
      </c>
      <c r="F84">
        <v>0</v>
      </c>
      <c r="G84">
        <v>13</v>
      </c>
      <c r="H84" t="str">
        <f>A42</f>
        <v>A041</v>
      </c>
      <c r="I84">
        <v>-1</v>
      </c>
      <c r="J84">
        <v>62.72</v>
      </c>
      <c r="K84">
        <v>1</v>
      </c>
    </row>
    <row r="85" spans="1:11" x14ac:dyDescent="0.15">
      <c r="A85" t="s">
        <v>318</v>
      </c>
      <c r="B85" t="s">
        <v>106</v>
      </c>
      <c r="C85">
        <v>43</v>
      </c>
      <c r="E85">
        <v>10</v>
      </c>
      <c r="F85">
        <v>0</v>
      </c>
      <c r="G85">
        <v>10</v>
      </c>
      <c r="H85" t="str">
        <f>A44</f>
        <v>A043</v>
      </c>
      <c r="I85">
        <v>-1</v>
      </c>
      <c r="J85">
        <v>70.56</v>
      </c>
      <c r="K85">
        <v>1</v>
      </c>
    </row>
    <row r="86" spans="1:11" x14ac:dyDescent="0.15">
      <c r="A86" t="s">
        <v>319</v>
      </c>
      <c r="B86" t="s">
        <v>110</v>
      </c>
      <c r="C86">
        <v>21</v>
      </c>
      <c r="D86">
        <v>63</v>
      </c>
      <c r="E86">
        <v>175</v>
      </c>
      <c r="F86">
        <v>0</v>
      </c>
      <c r="G86">
        <v>175</v>
      </c>
      <c r="H86">
        <v>-1</v>
      </c>
      <c r="I86">
        <v>-1</v>
      </c>
      <c r="J86">
        <v>78.400000000000006</v>
      </c>
      <c r="K86">
        <v>1</v>
      </c>
    </row>
    <row r="87" spans="1:11" ht="12.75" customHeight="1" x14ac:dyDescent="0.15">
      <c r="A87" t="s">
        <v>320</v>
      </c>
      <c r="B87" t="s">
        <v>179</v>
      </c>
      <c r="C87">
        <v>6</v>
      </c>
      <c r="D87">
        <v>63</v>
      </c>
      <c r="E87">
        <v>38</v>
      </c>
      <c r="F87">
        <v>0</v>
      </c>
      <c r="G87">
        <v>19</v>
      </c>
      <c r="H87" t="str">
        <f>A20</f>
        <v>A019</v>
      </c>
      <c r="I87">
        <v>-1</v>
      </c>
      <c r="J87">
        <v>70.56</v>
      </c>
      <c r="K87">
        <v>1</v>
      </c>
    </row>
    <row r="88" spans="1:11" x14ac:dyDescent="0.15">
      <c r="A88" t="s">
        <v>321</v>
      </c>
      <c r="B88" t="s">
        <v>183</v>
      </c>
      <c r="C88">
        <v>126</v>
      </c>
      <c r="D88">
        <v>126</v>
      </c>
      <c r="E88">
        <v>126</v>
      </c>
      <c r="F88">
        <v>0</v>
      </c>
      <c r="G88">
        <v>0</v>
      </c>
      <c r="H88">
        <v>-1</v>
      </c>
      <c r="I88">
        <v>-1</v>
      </c>
      <c r="J88">
        <v>78.400000000000006</v>
      </c>
      <c r="K88">
        <v>1</v>
      </c>
    </row>
    <row r="89" spans="1:11" x14ac:dyDescent="0.15">
      <c r="A89" t="s">
        <v>322</v>
      </c>
      <c r="B89" t="s">
        <v>184</v>
      </c>
      <c r="C89">
        <v>63</v>
      </c>
      <c r="D89">
        <v>25</v>
      </c>
      <c r="E89">
        <v>38</v>
      </c>
      <c r="F89">
        <v>0</v>
      </c>
      <c r="G89">
        <v>0</v>
      </c>
      <c r="H89" t="str">
        <f>A36</f>
        <v>A035</v>
      </c>
      <c r="I89">
        <v>-1</v>
      </c>
      <c r="J89">
        <v>70.56</v>
      </c>
      <c r="K89">
        <v>1</v>
      </c>
    </row>
    <row r="90" spans="1:11" x14ac:dyDescent="0.15">
      <c r="A90" t="s">
        <v>323</v>
      </c>
      <c r="B90" t="s">
        <v>185</v>
      </c>
      <c r="C90">
        <v>0</v>
      </c>
      <c r="D90">
        <v>50</v>
      </c>
      <c r="E90">
        <v>0</v>
      </c>
      <c r="F90">
        <v>0</v>
      </c>
      <c r="G90">
        <v>76</v>
      </c>
      <c r="H90" t="str">
        <f>A39</f>
        <v>A038</v>
      </c>
      <c r="I90">
        <v>-1</v>
      </c>
      <c r="J90">
        <v>78.400000000000006</v>
      </c>
      <c r="K90">
        <v>1</v>
      </c>
    </row>
    <row r="91" spans="1:11" x14ac:dyDescent="0.15">
      <c r="A91" t="s">
        <v>324</v>
      </c>
      <c r="B91" t="s">
        <v>191</v>
      </c>
      <c r="C91">
        <v>38</v>
      </c>
      <c r="D91">
        <v>25</v>
      </c>
      <c r="E91">
        <v>63</v>
      </c>
      <c r="F91">
        <v>0</v>
      </c>
      <c r="G91">
        <v>0</v>
      </c>
      <c r="H91" t="str">
        <f>A53</f>
        <v>A052</v>
      </c>
      <c r="I91">
        <v>-1</v>
      </c>
      <c r="J91">
        <v>70.56</v>
      </c>
      <c r="K91">
        <v>1</v>
      </c>
    </row>
    <row r="92" spans="1:11" x14ac:dyDescent="0.15">
      <c r="A92" t="s">
        <v>325</v>
      </c>
      <c r="B92" t="s">
        <v>194</v>
      </c>
      <c r="C92">
        <v>5</v>
      </c>
      <c r="D92">
        <v>53</v>
      </c>
      <c r="E92">
        <v>46</v>
      </c>
      <c r="F92">
        <v>0</v>
      </c>
      <c r="G92">
        <v>84</v>
      </c>
      <c r="H92" t="str">
        <f>A52</f>
        <v>A051</v>
      </c>
      <c r="I92">
        <v>-1</v>
      </c>
      <c r="J92">
        <v>70.56</v>
      </c>
      <c r="K92">
        <v>1</v>
      </c>
    </row>
    <row r="93" spans="1:11" x14ac:dyDescent="0.15">
      <c r="A93" t="s">
        <v>326</v>
      </c>
      <c r="B93" t="s">
        <v>198</v>
      </c>
      <c r="C93">
        <v>20</v>
      </c>
      <c r="D93">
        <v>64</v>
      </c>
      <c r="E93">
        <v>175</v>
      </c>
      <c r="F93">
        <v>0</v>
      </c>
      <c r="G93">
        <v>175</v>
      </c>
      <c r="H93">
        <v>-1</v>
      </c>
      <c r="I93">
        <v>-1</v>
      </c>
      <c r="J93">
        <v>78.400000000000006</v>
      </c>
      <c r="K93">
        <v>1</v>
      </c>
    </row>
    <row r="94" spans="1:11" x14ac:dyDescent="0.15">
      <c r="A94" t="s">
        <v>327</v>
      </c>
      <c r="B94" t="s">
        <v>202</v>
      </c>
      <c r="C94">
        <v>21</v>
      </c>
      <c r="D94">
        <v>0</v>
      </c>
      <c r="E94">
        <v>88</v>
      </c>
      <c r="F94">
        <v>0</v>
      </c>
      <c r="G94">
        <v>80</v>
      </c>
      <c r="H94" t="str">
        <f>A49</f>
        <v>A048</v>
      </c>
      <c r="I94">
        <v>-1</v>
      </c>
      <c r="J94">
        <v>78.400000000000006</v>
      </c>
      <c r="K94">
        <v>1</v>
      </c>
    </row>
    <row r="95" spans="1:11" x14ac:dyDescent="0.15">
      <c r="A95" t="s">
        <v>328</v>
      </c>
      <c r="B95" t="s">
        <v>208</v>
      </c>
      <c r="C95">
        <v>119</v>
      </c>
      <c r="D95">
        <v>0</v>
      </c>
      <c r="E95">
        <v>119</v>
      </c>
      <c r="F95">
        <v>0</v>
      </c>
      <c r="G95">
        <v>13</v>
      </c>
      <c r="H95" t="str">
        <f>A19</f>
        <v>A018</v>
      </c>
      <c r="I95">
        <v>-1</v>
      </c>
      <c r="J95">
        <v>39.200000000000003</v>
      </c>
      <c r="K95">
        <v>1</v>
      </c>
    </row>
    <row r="96" spans="1:11" x14ac:dyDescent="0.15">
      <c r="A96" t="s">
        <v>329</v>
      </c>
      <c r="B96" t="s">
        <v>209</v>
      </c>
      <c r="C96">
        <v>24</v>
      </c>
      <c r="D96">
        <v>24</v>
      </c>
      <c r="E96">
        <v>184</v>
      </c>
      <c r="F96">
        <v>0</v>
      </c>
      <c r="G96">
        <v>16</v>
      </c>
      <c r="H96" t="str">
        <f>A59</f>
        <v>A058</v>
      </c>
      <c r="I96">
        <v>-1</v>
      </c>
      <c r="J96">
        <v>39.200000000000003</v>
      </c>
      <c r="K96">
        <v>1</v>
      </c>
    </row>
    <row r="97" spans="1:11" ht="12.75" customHeight="1" x14ac:dyDescent="0.15">
      <c r="A97" t="s">
        <v>330</v>
      </c>
      <c r="B97" t="s">
        <v>210</v>
      </c>
      <c r="C97">
        <v>50</v>
      </c>
      <c r="D97">
        <v>0</v>
      </c>
      <c r="E97">
        <v>50</v>
      </c>
      <c r="F97">
        <v>0</v>
      </c>
      <c r="G97">
        <v>25</v>
      </c>
      <c r="H97" t="str">
        <f>A22</f>
        <v>A021</v>
      </c>
      <c r="I97">
        <v>-1</v>
      </c>
      <c r="J97">
        <v>62.72</v>
      </c>
      <c r="K97">
        <v>1</v>
      </c>
    </row>
    <row r="98" spans="1:11" ht="12.75" customHeight="1" x14ac:dyDescent="0.15">
      <c r="A98" t="s">
        <v>331</v>
      </c>
      <c r="B98" t="s">
        <v>211</v>
      </c>
      <c r="C98">
        <v>0</v>
      </c>
      <c r="D98">
        <v>65</v>
      </c>
      <c r="E98">
        <v>125</v>
      </c>
      <c r="F98">
        <v>0</v>
      </c>
      <c r="G98">
        <v>186</v>
      </c>
      <c r="H98">
        <v>-1</v>
      </c>
      <c r="I98">
        <v>-1</v>
      </c>
      <c r="J98">
        <v>78.400000000000006</v>
      </c>
      <c r="K98">
        <v>1</v>
      </c>
    </row>
    <row r="99" spans="1:11" ht="12.75" customHeight="1" x14ac:dyDescent="0.15">
      <c r="A99" t="s">
        <v>332</v>
      </c>
      <c r="B99" t="s">
        <v>212</v>
      </c>
      <c r="C99">
        <v>63</v>
      </c>
      <c r="D99">
        <v>25</v>
      </c>
      <c r="E99">
        <v>38</v>
      </c>
      <c r="F99">
        <v>0</v>
      </c>
      <c r="G99">
        <v>0</v>
      </c>
      <c r="H99" t="str">
        <f>A37</f>
        <v>A036</v>
      </c>
      <c r="I99">
        <v>-1</v>
      </c>
      <c r="J99">
        <v>70.56</v>
      </c>
      <c r="K99">
        <v>1</v>
      </c>
    </row>
    <row r="100" spans="1:11" ht="12.75" customHeight="1" x14ac:dyDescent="0.15">
      <c r="A100" t="s">
        <v>333</v>
      </c>
      <c r="B100" s="1" t="s">
        <v>219</v>
      </c>
      <c r="C100">
        <v>35</v>
      </c>
      <c r="D100">
        <v>0</v>
      </c>
      <c r="E100">
        <v>35</v>
      </c>
      <c r="F100">
        <v>0</v>
      </c>
      <c r="G100">
        <v>55</v>
      </c>
      <c r="H100" t="str">
        <f>A61</f>
        <v>A060</v>
      </c>
      <c r="I100">
        <v>-1</v>
      </c>
      <c r="J100">
        <v>62.72</v>
      </c>
      <c r="K100">
        <v>1</v>
      </c>
    </row>
    <row r="101" spans="1:11" ht="12.75" customHeight="1" x14ac:dyDescent="0.15">
      <c r="A101" t="s">
        <v>334</v>
      </c>
      <c r="B101" s="1" t="s">
        <v>220</v>
      </c>
      <c r="C101">
        <v>56</v>
      </c>
      <c r="D101">
        <v>0</v>
      </c>
      <c r="E101">
        <v>38</v>
      </c>
      <c r="F101">
        <v>0</v>
      </c>
      <c r="G101">
        <v>94</v>
      </c>
      <c r="H101" t="str">
        <f>A62</f>
        <v>A061</v>
      </c>
      <c r="I101">
        <v>-1</v>
      </c>
      <c r="J101">
        <v>70.56</v>
      </c>
      <c r="K101">
        <v>1</v>
      </c>
    </row>
    <row r="102" spans="1:11" x14ac:dyDescent="0.15">
      <c r="A102" t="s">
        <v>335</v>
      </c>
      <c r="B102" t="s">
        <v>135</v>
      </c>
      <c r="C102">
        <v>0</v>
      </c>
      <c r="D102">
        <v>10</v>
      </c>
      <c r="E102">
        <v>20</v>
      </c>
      <c r="F102">
        <v>0</v>
      </c>
      <c r="G102">
        <v>70</v>
      </c>
      <c r="H102" t="str">
        <f>A103</f>
        <v>B002</v>
      </c>
      <c r="I102">
        <v>-1</v>
      </c>
      <c r="J102">
        <v>0</v>
      </c>
      <c r="K102">
        <v>2</v>
      </c>
    </row>
    <row r="103" spans="1:11" x14ac:dyDescent="0.15">
      <c r="A103" t="s">
        <v>336</v>
      </c>
      <c r="B103" t="s">
        <v>136</v>
      </c>
      <c r="C103">
        <v>0</v>
      </c>
      <c r="D103">
        <v>5</v>
      </c>
      <c r="E103">
        <v>10</v>
      </c>
      <c r="F103">
        <v>0</v>
      </c>
      <c r="G103">
        <v>35</v>
      </c>
      <c r="H103">
        <v>-1</v>
      </c>
      <c r="I103" t="str">
        <f>A102</f>
        <v>B001</v>
      </c>
      <c r="J103">
        <v>0</v>
      </c>
      <c r="K103">
        <v>2</v>
      </c>
    </row>
    <row r="104" spans="1:11" x14ac:dyDescent="0.15">
      <c r="A104" t="s">
        <v>337</v>
      </c>
      <c r="B104" t="s">
        <v>137</v>
      </c>
      <c r="C104">
        <v>32</v>
      </c>
      <c r="D104">
        <v>20</v>
      </c>
      <c r="E104">
        <v>48</v>
      </c>
      <c r="F104">
        <v>0</v>
      </c>
      <c r="G104">
        <v>0</v>
      </c>
      <c r="H104" t="str">
        <f>A105</f>
        <v>B004</v>
      </c>
      <c r="I104">
        <v>-1</v>
      </c>
      <c r="J104">
        <v>0</v>
      </c>
      <c r="K104">
        <v>2</v>
      </c>
    </row>
    <row r="105" spans="1:11" x14ac:dyDescent="0.15">
      <c r="A105" t="s">
        <v>338</v>
      </c>
      <c r="B105" t="s">
        <v>138</v>
      </c>
      <c r="C105">
        <v>16</v>
      </c>
      <c r="D105">
        <v>10</v>
      </c>
      <c r="E105">
        <v>24</v>
      </c>
      <c r="F105">
        <v>0</v>
      </c>
      <c r="G105">
        <v>0</v>
      </c>
      <c r="H105">
        <v>-1</v>
      </c>
      <c r="I105" t="str">
        <f>A104</f>
        <v>B003</v>
      </c>
      <c r="J105">
        <v>0</v>
      </c>
      <c r="K105">
        <v>2</v>
      </c>
    </row>
    <row r="106" spans="1:11" x14ac:dyDescent="0.15">
      <c r="A106" t="s">
        <v>339</v>
      </c>
      <c r="B106" t="s">
        <v>85</v>
      </c>
      <c r="C106">
        <v>0</v>
      </c>
      <c r="D106">
        <v>72</v>
      </c>
      <c r="E106">
        <v>32</v>
      </c>
      <c r="F106">
        <v>0</v>
      </c>
      <c r="G106">
        <v>28</v>
      </c>
      <c r="H106" t="str">
        <f>A107</f>
        <v>B006</v>
      </c>
      <c r="I106">
        <v>-1</v>
      </c>
      <c r="J106">
        <v>0</v>
      </c>
      <c r="K106">
        <v>2</v>
      </c>
    </row>
    <row r="107" spans="1:11" x14ac:dyDescent="0.15">
      <c r="A107" t="s">
        <v>340</v>
      </c>
      <c r="B107" t="s">
        <v>87</v>
      </c>
      <c r="C107">
        <v>0</v>
      </c>
      <c r="D107">
        <v>36</v>
      </c>
      <c r="E107">
        <v>16</v>
      </c>
      <c r="F107">
        <v>0</v>
      </c>
      <c r="G107">
        <v>14</v>
      </c>
      <c r="H107">
        <v>-1</v>
      </c>
      <c r="I107" t="str">
        <f>A106</f>
        <v>B005</v>
      </c>
      <c r="J107">
        <v>0</v>
      </c>
      <c r="K107">
        <v>2</v>
      </c>
    </row>
    <row r="108" spans="1:11" x14ac:dyDescent="0.15">
      <c r="A108" t="s">
        <v>341</v>
      </c>
      <c r="B108" t="s">
        <v>141</v>
      </c>
      <c r="C108">
        <v>0</v>
      </c>
      <c r="D108">
        <v>48</v>
      </c>
      <c r="E108">
        <v>32</v>
      </c>
      <c r="F108">
        <v>0</v>
      </c>
      <c r="G108">
        <v>20</v>
      </c>
      <c r="H108" t="str">
        <f>A109</f>
        <v>B008</v>
      </c>
      <c r="I108">
        <v>-1</v>
      </c>
      <c r="J108">
        <v>0</v>
      </c>
      <c r="K108">
        <v>2</v>
      </c>
    </row>
    <row r="109" spans="1:11" x14ac:dyDescent="0.15">
      <c r="A109" t="s">
        <v>342</v>
      </c>
      <c r="B109" t="s">
        <v>142</v>
      </c>
      <c r="C109">
        <v>0</v>
      </c>
      <c r="D109">
        <v>24</v>
      </c>
      <c r="E109">
        <v>16</v>
      </c>
      <c r="F109">
        <v>0</v>
      </c>
      <c r="G109">
        <v>10</v>
      </c>
      <c r="H109">
        <v>-1</v>
      </c>
      <c r="I109" t="str">
        <f>A108</f>
        <v>B007</v>
      </c>
      <c r="J109">
        <v>0</v>
      </c>
      <c r="K109">
        <v>2</v>
      </c>
    </row>
    <row r="110" spans="1:11" x14ac:dyDescent="0.15">
      <c r="A110" t="s">
        <v>343</v>
      </c>
      <c r="B110" t="s">
        <v>143</v>
      </c>
      <c r="C110">
        <v>32</v>
      </c>
      <c r="D110">
        <v>32</v>
      </c>
      <c r="E110">
        <v>32</v>
      </c>
      <c r="F110">
        <v>0</v>
      </c>
      <c r="G110">
        <v>0</v>
      </c>
      <c r="H110" t="str">
        <f>A111</f>
        <v>B010</v>
      </c>
      <c r="I110">
        <v>-1</v>
      </c>
      <c r="J110">
        <v>0</v>
      </c>
      <c r="K110">
        <v>2</v>
      </c>
    </row>
    <row r="111" spans="1:11" x14ac:dyDescent="0.15">
      <c r="A111" t="s">
        <v>344</v>
      </c>
      <c r="B111" t="s">
        <v>144</v>
      </c>
      <c r="C111">
        <v>16</v>
      </c>
      <c r="D111">
        <v>16</v>
      </c>
      <c r="E111">
        <v>16</v>
      </c>
      <c r="F111">
        <v>0</v>
      </c>
      <c r="G111">
        <v>0</v>
      </c>
      <c r="H111">
        <v>-1</v>
      </c>
      <c r="I111" t="str">
        <f>A110</f>
        <v>B009</v>
      </c>
      <c r="J111">
        <v>0</v>
      </c>
      <c r="K111">
        <v>2</v>
      </c>
    </row>
    <row r="112" spans="1:11" x14ac:dyDescent="0.15">
      <c r="A112" t="s">
        <v>345</v>
      </c>
      <c r="B112" t="s">
        <v>145</v>
      </c>
      <c r="C112">
        <v>70</v>
      </c>
      <c r="D112">
        <v>0</v>
      </c>
      <c r="E112">
        <v>0</v>
      </c>
      <c r="F112">
        <v>0</v>
      </c>
      <c r="G112">
        <v>30</v>
      </c>
      <c r="H112" t="str">
        <f>A113</f>
        <v>B012</v>
      </c>
      <c r="I112">
        <v>-1</v>
      </c>
      <c r="J112">
        <v>0</v>
      </c>
      <c r="K112">
        <v>2</v>
      </c>
    </row>
    <row r="113" spans="1:11" x14ac:dyDescent="0.15">
      <c r="A113" t="s">
        <v>346</v>
      </c>
      <c r="B113" t="s">
        <v>146</v>
      </c>
      <c r="C113">
        <v>35</v>
      </c>
      <c r="D113">
        <v>0</v>
      </c>
      <c r="E113">
        <v>0</v>
      </c>
      <c r="F113">
        <v>0</v>
      </c>
      <c r="G113">
        <v>15</v>
      </c>
      <c r="H113">
        <v>-1</v>
      </c>
      <c r="I113" t="str">
        <f>A112</f>
        <v>B011</v>
      </c>
      <c r="J113">
        <v>0</v>
      </c>
      <c r="K113">
        <v>2</v>
      </c>
    </row>
    <row r="114" spans="1:11" x14ac:dyDescent="0.15">
      <c r="A114" t="s">
        <v>347</v>
      </c>
      <c r="B114" t="s">
        <v>139</v>
      </c>
      <c r="C114">
        <v>6</v>
      </c>
      <c r="D114">
        <v>18</v>
      </c>
      <c r="E114">
        <v>50</v>
      </c>
      <c r="F114">
        <v>0</v>
      </c>
      <c r="G114">
        <v>50</v>
      </c>
      <c r="H114" t="str">
        <f>A115</f>
        <v>B014</v>
      </c>
      <c r="I114">
        <v>-1</v>
      </c>
      <c r="J114">
        <v>0</v>
      </c>
      <c r="K114">
        <v>2</v>
      </c>
    </row>
    <row r="115" spans="1:11" x14ac:dyDescent="0.15">
      <c r="A115" t="s">
        <v>348</v>
      </c>
      <c r="B115" t="s">
        <v>140</v>
      </c>
      <c r="C115">
        <v>3</v>
      </c>
      <c r="D115">
        <v>9</v>
      </c>
      <c r="E115">
        <v>25</v>
      </c>
      <c r="F115">
        <v>0</v>
      </c>
      <c r="G115">
        <v>25</v>
      </c>
      <c r="H115">
        <v>-1</v>
      </c>
      <c r="I115" t="str">
        <f>A114</f>
        <v>B013</v>
      </c>
      <c r="J115">
        <v>0</v>
      </c>
      <c r="K115">
        <v>2</v>
      </c>
    </row>
    <row r="116" spans="1:11" ht="12.75" customHeight="1" x14ac:dyDescent="0.15">
      <c r="A116" t="s">
        <v>349</v>
      </c>
      <c r="B116" t="s">
        <v>82</v>
      </c>
      <c r="C116">
        <v>0</v>
      </c>
      <c r="D116">
        <v>13</v>
      </c>
      <c r="E116">
        <v>0</v>
      </c>
      <c r="F116">
        <v>0</v>
      </c>
      <c r="G116">
        <v>50</v>
      </c>
      <c r="H116">
        <v>-1</v>
      </c>
      <c r="I116">
        <v>-1</v>
      </c>
      <c r="J116">
        <v>0</v>
      </c>
      <c r="K116">
        <v>2</v>
      </c>
    </row>
    <row r="117" spans="1:11" x14ac:dyDescent="0.15">
      <c r="A117" t="s">
        <v>350</v>
      </c>
      <c r="B117" t="s">
        <v>86</v>
      </c>
      <c r="C117">
        <v>0</v>
      </c>
      <c r="D117">
        <v>0</v>
      </c>
      <c r="E117">
        <v>31</v>
      </c>
      <c r="F117">
        <v>0</v>
      </c>
      <c r="G117">
        <v>0</v>
      </c>
      <c r="H117">
        <v>-1</v>
      </c>
      <c r="I117">
        <v>-1</v>
      </c>
      <c r="J117">
        <v>0</v>
      </c>
      <c r="K117">
        <v>2</v>
      </c>
    </row>
    <row r="118" spans="1:11" x14ac:dyDescent="0.15">
      <c r="A118" t="s">
        <v>351</v>
      </c>
      <c r="B118" t="s">
        <v>83</v>
      </c>
      <c r="C118">
        <v>6</v>
      </c>
      <c r="D118">
        <v>0</v>
      </c>
      <c r="E118">
        <v>13</v>
      </c>
      <c r="F118">
        <v>0</v>
      </c>
      <c r="G118">
        <v>13</v>
      </c>
      <c r="H118">
        <v>-1</v>
      </c>
      <c r="I118">
        <v>-1</v>
      </c>
      <c r="J118">
        <v>0</v>
      </c>
      <c r="K118">
        <v>2</v>
      </c>
    </row>
    <row r="119" spans="1:11" x14ac:dyDescent="0.15">
      <c r="A119" t="s">
        <v>352</v>
      </c>
      <c r="B119" t="s">
        <v>84</v>
      </c>
      <c r="C119">
        <v>0</v>
      </c>
      <c r="D119">
        <v>0</v>
      </c>
      <c r="E119">
        <v>6</v>
      </c>
      <c r="F119">
        <v>0</v>
      </c>
      <c r="G119">
        <v>25</v>
      </c>
      <c r="H119">
        <v>-1</v>
      </c>
      <c r="I119">
        <v>-1</v>
      </c>
      <c r="J119">
        <v>0</v>
      </c>
      <c r="K119">
        <v>2</v>
      </c>
    </row>
    <row r="120" spans="1:11" x14ac:dyDescent="0.15">
      <c r="A120" t="s">
        <v>353</v>
      </c>
      <c r="B120" t="s">
        <v>195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-1</v>
      </c>
      <c r="I120">
        <v>-1</v>
      </c>
      <c r="J120">
        <v>0</v>
      </c>
      <c r="K120">
        <v>2</v>
      </c>
    </row>
    <row r="121" spans="1:11" x14ac:dyDescent="0.15">
      <c r="A121" t="s">
        <v>354</v>
      </c>
      <c r="B121" t="s">
        <v>147</v>
      </c>
      <c r="C121">
        <v>0</v>
      </c>
      <c r="D121">
        <v>0</v>
      </c>
      <c r="E121">
        <v>100</v>
      </c>
      <c r="F121">
        <v>0</v>
      </c>
      <c r="G121">
        <v>0</v>
      </c>
      <c r="H121">
        <v>-1</v>
      </c>
      <c r="I121">
        <v>-1</v>
      </c>
      <c r="J121">
        <v>0</v>
      </c>
      <c r="K121">
        <v>3</v>
      </c>
    </row>
  </sheetData>
  <phoneticPr fontId="1"/>
  <pageMargins left="0.7" right="0.7" top="0.75" bottom="0.75" header="0.3" footer="0.3"/>
  <pageSetup paperSize="9" orientation="portrait" r:id="rId1"/>
  <ignoredErrors>
    <ignoredError sqref="H9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11</xdr:col>
                    <xdr:colOff>666750</xdr:colOff>
                    <xdr:row>0</xdr:row>
                    <xdr:rowOff>9525</xdr:rowOff>
                  </from>
                  <to>
                    <xdr:col>14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ThisWorkbook.MakeInsertNoID">
                <anchor moveWithCells="1" sizeWithCells="1">
                  <from>
                    <xdr:col>12</xdr:col>
                    <xdr:colOff>0</xdr:colOff>
                    <xdr:row>3</xdr:row>
                    <xdr:rowOff>9525</xdr:rowOff>
                  </from>
                  <to>
                    <xdr:col>14</xdr:col>
                    <xdr:colOff>152400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63"/>
  <sheetViews>
    <sheetView tabSelected="1" workbookViewId="0"/>
  </sheetViews>
  <sheetFormatPr defaultColWidth="9.25" defaultRowHeight="13.5" x14ac:dyDescent="0.15"/>
  <cols>
    <col min="1" max="1" width="3.5" bestFit="1" customWidth="1"/>
    <col min="2" max="2" width="17.75" bestFit="1" customWidth="1"/>
    <col min="3" max="3" width="11" bestFit="1" customWidth="1"/>
    <col min="4" max="4" width="6.75" bestFit="1" customWidth="1"/>
    <col min="5" max="5" width="5.875" bestFit="1" customWidth="1"/>
  </cols>
  <sheetData>
    <row r="1" spans="1:6" x14ac:dyDescent="0.15">
      <c r="A1" t="s">
        <v>113</v>
      </c>
      <c r="B1" t="s">
        <v>221</v>
      </c>
      <c r="C1" t="s">
        <v>356</v>
      </c>
      <c r="D1" t="s">
        <v>222</v>
      </c>
      <c r="E1" t="s">
        <v>355</v>
      </c>
      <c r="F1" t="s">
        <v>223</v>
      </c>
    </row>
    <row r="2" spans="1:6" x14ac:dyDescent="0.15">
      <c r="A2">
        <v>0</v>
      </c>
      <c r="B2" t="s">
        <v>125</v>
      </c>
      <c r="C2">
        <v>0</v>
      </c>
      <c r="D2" t="str">
        <f>BATTER_ABILITY_DETAIL!A2&amp;":"&amp;BATTER_ABILITY_DETAIL!A102</f>
        <v>A001:B001</v>
      </c>
      <c r="E2">
        <v>0</v>
      </c>
      <c r="F2">
        <v>0</v>
      </c>
    </row>
    <row r="3" spans="1:6" x14ac:dyDescent="0.15">
      <c r="A3">
        <v>1</v>
      </c>
      <c r="B3" t="s">
        <v>126</v>
      </c>
      <c r="C3">
        <v>0</v>
      </c>
      <c r="D3" t="str">
        <f>BATTER_ABILITY_DETAIL!A4&amp;":"&amp;BATTER_ABILITY_DETAIL!A104</f>
        <v>A003:B003</v>
      </c>
      <c r="E3">
        <v>0</v>
      </c>
      <c r="F3">
        <v>1</v>
      </c>
    </row>
    <row r="4" spans="1:6" x14ac:dyDescent="0.15">
      <c r="A4">
        <v>2</v>
      </c>
      <c r="B4" t="s">
        <v>127</v>
      </c>
      <c r="C4">
        <v>1</v>
      </c>
      <c r="D4" t="str">
        <f>BATTER_ABILITY_DETAIL!A6&amp;":"&amp;BATTER_ABILITY_DETAIL!A106</f>
        <v>A005:B005</v>
      </c>
      <c r="E4">
        <v>0</v>
      </c>
      <c r="F4">
        <v>2</v>
      </c>
    </row>
    <row r="5" spans="1:6" x14ac:dyDescent="0.15">
      <c r="A5">
        <v>3</v>
      </c>
      <c r="B5" t="s">
        <v>128</v>
      </c>
      <c r="C5">
        <v>1</v>
      </c>
      <c r="D5" t="str">
        <f>BATTER_ABILITY_DETAIL!A8&amp;":"&amp;BATTER_ABILITY_DETAIL!A108</f>
        <v>A007:B007</v>
      </c>
      <c r="E5">
        <v>0</v>
      </c>
      <c r="F5">
        <v>3</v>
      </c>
    </row>
    <row r="6" spans="1:6" x14ac:dyDescent="0.15">
      <c r="A6">
        <v>4</v>
      </c>
      <c r="B6" t="s">
        <v>129</v>
      </c>
      <c r="C6">
        <v>2</v>
      </c>
      <c r="D6" t="str">
        <f>BATTER_ABILITY_DETAIL!A10&amp;":"&amp;BATTER_ABILITY_DETAIL!A110</f>
        <v>A009:B009</v>
      </c>
      <c r="E6">
        <v>0</v>
      </c>
      <c r="F6">
        <v>4</v>
      </c>
    </row>
    <row r="7" spans="1:6" x14ac:dyDescent="0.15">
      <c r="A7">
        <v>5</v>
      </c>
      <c r="B7" t="s">
        <v>130</v>
      </c>
      <c r="C7">
        <v>3</v>
      </c>
      <c r="D7" t="str">
        <f>BATTER_ABILITY_DETAIL!A12&amp;":"&amp;BATTER_ABILITY_DETAIL!A112</f>
        <v>A011:B011</v>
      </c>
      <c r="E7">
        <v>0</v>
      </c>
      <c r="F7">
        <v>5</v>
      </c>
    </row>
    <row r="8" spans="1:6" x14ac:dyDescent="0.15">
      <c r="A8">
        <v>6</v>
      </c>
      <c r="B8" t="s">
        <v>131</v>
      </c>
      <c r="C8">
        <v>2</v>
      </c>
      <c r="D8" t="str">
        <f>BATTER_ABILITY_DETAIL!A14&amp;":"&amp;BATTER_ABILITY_DETAIL!A114</f>
        <v>A013:B013</v>
      </c>
      <c r="E8">
        <v>0</v>
      </c>
      <c r="F8">
        <v>6</v>
      </c>
    </row>
    <row r="9" spans="1:6" x14ac:dyDescent="0.15">
      <c r="A9">
        <v>7</v>
      </c>
      <c r="B9" t="s">
        <v>132</v>
      </c>
      <c r="C9">
        <v>0</v>
      </c>
      <c r="D9" t="str">
        <f>BATTER_ABILITY_DETAIL!A16</f>
        <v>A015</v>
      </c>
      <c r="E9">
        <v>0</v>
      </c>
      <c r="F9">
        <v>7</v>
      </c>
    </row>
    <row r="10" spans="1:6" x14ac:dyDescent="0.15">
      <c r="A10">
        <v>8</v>
      </c>
      <c r="B10" t="s">
        <v>133</v>
      </c>
      <c r="C10">
        <v>0</v>
      </c>
      <c r="D10" t="str">
        <f>BATTER_ABILITY_DETAIL!A17</f>
        <v>A016</v>
      </c>
      <c r="E10">
        <v>0</v>
      </c>
      <c r="F10">
        <v>8</v>
      </c>
    </row>
    <row r="11" spans="1:6" x14ac:dyDescent="0.15">
      <c r="A11">
        <v>9</v>
      </c>
      <c r="B11" t="s">
        <v>134</v>
      </c>
      <c r="C11">
        <v>0</v>
      </c>
      <c r="D11" t="str">
        <f>BATTER_ABILITY_DETAIL!A19</f>
        <v>A018</v>
      </c>
      <c r="E11">
        <v>1</v>
      </c>
      <c r="F11">
        <v>10</v>
      </c>
    </row>
    <row r="12" spans="1:6" x14ac:dyDescent="0.15">
      <c r="A12">
        <v>10</v>
      </c>
      <c r="B12" t="s">
        <v>11</v>
      </c>
      <c r="C12">
        <v>0</v>
      </c>
      <c r="D12" t="str">
        <f>BATTER_ABILITY_DETAIL!A20</f>
        <v>A019</v>
      </c>
      <c r="E12">
        <v>0</v>
      </c>
      <c r="F12">
        <v>11</v>
      </c>
    </row>
    <row r="13" spans="1:6" x14ac:dyDescent="0.15">
      <c r="A13">
        <v>11</v>
      </c>
      <c r="B13" t="s">
        <v>10</v>
      </c>
      <c r="C13">
        <v>0</v>
      </c>
      <c r="D13" t="str">
        <f>BATTER_ABILITY_DETAIL!A21</f>
        <v>A020</v>
      </c>
      <c r="E13">
        <v>0</v>
      </c>
      <c r="F13">
        <v>12</v>
      </c>
    </row>
    <row r="14" spans="1:6" x14ac:dyDescent="0.15">
      <c r="A14">
        <v>12</v>
      </c>
      <c r="B14" t="s">
        <v>9</v>
      </c>
      <c r="C14">
        <v>0</v>
      </c>
      <c r="D14" t="str">
        <f>BATTER_ABILITY_DETAIL!A22</f>
        <v>A021</v>
      </c>
      <c r="E14">
        <v>0</v>
      </c>
      <c r="F14">
        <v>13</v>
      </c>
    </row>
    <row r="15" spans="1:6" x14ac:dyDescent="0.15">
      <c r="A15">
        <v>13</v>
      </c>
      <c r="B15" t="s">
        <v>8</v>
      </c>
      <c r="C15">
        <v>0</v>
      </c>
      <c r="D15" t="str">
        <f>BATTER_ABILITY_DETAIL!A23</f>
        <v>A022</v>
      </c>
      <c r="E15">
        <v>0</v>
      </c>
      <c r="F15">
        <v>14</v>
      </c>
    </row>
    <row r="16" spans="1:6" x14ac:dyDescent="0.15">
      <c r="A16">
        <v>14</v>
      </c>
      <c r="B16" t="s">
        <v>120</v>
      </c>
      <c r="C16">
        <v>0</v>
      </c>
      <c r="D16" t="str">
        <f>BATTER_ABILITY_DETAIL!A24</f>
        <v>A023</v>
      </c>
      <c r="E16">
        <v>0</v>
      </c>
      <c r="F16">
        <v>15</v>
      </c>
    </row>
    <row r="17" spans="1:6" x14ac:dyDescent="0.15">
      <c r="A17">
        <v>15</v>
      </c>
      <c r="B17" t="s">
        <v>7</v>
      </c>
      <c r="C17">
        <v>0</v>
      </c>
      <c r="D17" t="str">
        <f>BATTER_ABILITY_DETAIL!A25</f>
        <v>A024</v>
      </c>
      <c r="E17">
        <v>0</v>
      </c>
      <c r="F17">
        <v>16</v>
      </c>
    </row>
    <row r="18" spans="1:6" x14ac:dyDescent="0.15">
      <c r="A18">
        <v>16</v>
      </c>
      <c r="B18" t="s">
        <v>6</v>
      </c>
      <c r="C18">
        <v>0</v>
      </c>
      <c r="D18" t="str">
        <f>BATTER_ABILITY_DETAIL!A26</f>
        <v>A025</v>
      </c>
      <c r="E18">
        <v>0</v>
      </c>
      <c r="F18">
        <v>17</v>
      </c>
    </row>
    <row r="19" spans="1:6" x14ac:dyDescent="0.15">
      <c r="A19">
        <v>17</v>
      </c>
      <c r="B19" t="s">
        <v>63</v>
      </c>
      <c r="C19">
        <v>0</v>
      </c>
      <c r="D19" t="str">
        <f>BATTER_ABILITY_DETAIL!A28</f>
        <v>A027</v>
      </c>
      <c r="E19">
        <v>0</v>
      </c>
      <c r="F19">
        <v>18</v>
      </c>
    </row>
    <row r="20" spans="1:6" x14ac:dyDescent="0.15">
      <c r="A20">
        <v>18</v>
      </c>
      <c r="B20" t="s">
        <v>64</v>
      </c>
      <c r="C20">
        <v>0</v>
      </c>
      <c r="D20" t="str">
        <f>BATTER_ABILITY_DETAIL!A29</f>
        <v>A028</v>
      </c>
      <c r="E20">
        <v>0</v>
      </c>
      <c r="F20">
        <v>19</v>
      </c>
    </row>
    <row r="21" spans="1:6" x14ac:dyDescent="0.15">
      <c r="A21">
        <v>19</v>
      </c>
      <c r="B21" t="s">
        <v>65</v>
      </c>
      <c r="C21">
        <v>0</v>
      </c>
      <c r="D21" t="str">
        <f>BATTER_ABILITY_DETAIL!A30</f>
        <v>A029</v>
      </c>
      <c r="E21">
        <v>0</v>
      </c>
      <c r="F21">
        <v>20</v>
      </c>
    </row>
    <row r="22" spans="1:6" x14ac:dyDescent="0.15">
      <c r="A22">
        <v>20</v>
      </c>
      <c r="B22" t="s">
        <v>66</v>
      </c>
      <c r="C22">
        <v>1</v>
      </c>
      <c r="D22" t="str">
        <f>BATTER_ABILITY_DETAIL!A31</f>
        <v>A030</v>
      </c>
      <c r="E22">
        <v>0</v>
      </c>
      <c r="F22">
        <v>21</v>
      </c>
    </row>
    <row r="23" spans="1:6" x14ac:dyDescent="0.15">
      <c r="A23">
        <v>21</v>
      </c>
      <c r="B23" t="s">
        <v>67</v>
      </c>
      <c r="C23">
        <v>1</v>
      </c>
      <c r="D23" t="str">
        <f>BATTER_ABILITY_DETAIL!A32</f>
        <v>A031</v>
      </c>
      <c r="E23">
        <v>0</v>
      </c>
      <c r="F23">
        <v>22</v>
      </c>
    </row>
    <row r="24" spans="1:6" x14ac:dyDescent="0.15">
      <c r="A24">
        <v>22</v>
      </c>
      <c r="B24" t="s">
        <v>68</v>
      </c>
      <c r="C24">
        <v>0</v>
      </c>
      <c r="D24" t="str">
        <f>BATTER_ABILITY_DETAIL!A33</f>
        <v>A032</v>
      </c>
      <c r="E24">
        <v>0</v>
      </c>
      <c r="F24">
        <v>23</v>
      </c>
    </row>
    <row r="25" spans="1:6" x14ac:dyDescent="0.15">
      <c r="A25">
        <v>23</v>
      </c>
      <c r="B25" t="s">
        <v>69</v>
      </c>
      <c r="C25">
        <v>0</v>
      </c>
      <c r="D25" t="str">
        <f>BATTER_ABILITY_DETAIL!A34</f>
        <v>A033</v>
      </c>
      <c r="E25">
        <v>0</v>
      </c>
      <c r="F25">
        <v>24</v>
      </c>
    </row>
    <row r="26" spans="1:6" x14ac:dyDescent="0.15">
      <c r="A26">
        <v>24</v>
      </c>
      <c r="B26" t="s">
        <v>70</v>
      </c>
      <c r="C26">
        <v>0</v>
      </c>
      <c r="D26" t="str">
        <f>BATTER_ABILITY_DETAIL!A35</f>
        <v>A034</v>
      </c>
      <c r="E26">
        <v>0</v>
      </c>
      <c r="F26">
        <v>25</v>
      </c>
    </row>
    <row r="27" spans="1:6" x14ac:dyDescent="0.15">
      <c r="A27">
        <v>25</v>
      </c>
      <c r="B27" t="s">
        <v>71</v>
      </c>
      <c r="C27">
        <v>0</v>
      </c>
      <c r="D27" t="str">
        <f>BATTER_ABILITY_DETAIL!A36</f>
        <v>A035</v>
      </c>
      <c r="E27">
        <v>2</v>
      </c>
      <c r="F27">
        <v>26</v>
      </c>
    </row>
    <row r="28" spans="1:6" x14ac:dyDescent="0.15">
      <c r="A28">
        <v>26</v>
      </c>
      <c r="B28" t="s">
        <v>92</v>
      </c>
      <c r="C28">
        <v>0</v>
      </c>
      <c r="D28" t="str">
        <f>BATTER_ABILITY_DETAIL!A38</f>
        <v>A037</v>
      </c>
      <c r="E28">
        <v>0</v>
      </c>
      <c r="F28">
        <v>28</v>
      </c>
    </row>
    <row r="29" spans="1:6" x14ac:dyDescent="0.15">
      <c r="A29">
        <v>27</v>
      </c>
      <c r="B29" t="s">
        <v>73</v>
      </c>
      <c r="C29">
        <v>0</v>
      </c>
      <c r="D29" t="str">
        <f>BATTER_ABILITY_DETAIL!A39&amp;":"&amp;BATTER_ABILITY_DETAIL!A116</f>
        <v>A038:B015</v>
      </c>
      <c r="E29">
        <v>0</v>
      </c>
      <c r="F29">
        <v>29</v>
      </c>
    </row>
    <row r="30" spans="1:6" x14ac:dyDescent="0.15">
      <c r="A30">
        <v>28</v>
      </c>
      <c r="B30" t="s">
        <v>91</v>
      </c>
      <c r="C30">
        <v>0</v>
      </c>
      <c r="D30" t="str">
        <f>BATTER_ABILITY_DETAIL!A40</f>
        <v>A039</v>
      </c>
      <c r="E30">
        <v>0</v>
      </c>
      <c r="F30">
        <v>30</v>
      </c>
    </row>
    <row r="31" spans="1:6" x14ac:dyDescent="0.15">
      <c r="A31">
        <v>29</v>
      </c>
      <c r="B31" t="s">
        <v>74</v>
      </c>
      <c r="C31">
        <v>2</v>
      </c>
      <c r="D31" t="str">
        <f>BATTER_ABILITY_DETAIL!A41</f>
        <v>A040</v>
      </c>
      <c r="E31">
        <v>0</v>
      </c>
      <c r="F31">
        <v>31</v>
      </c>
    </row>
    <row r="32" spans="1:6" x14ac:dyDescent="0.15">
      <c r="A32">
        <v>30</v>
      </c>
      <c r="B32" t="s">
        <v>75</v>
      </c>
      <c r="C32">
        <v>2</v>
      </c>
      <c r="D32" t="str">
        <f>BATTER_ABILITY_DETAIL!A42</f>
        <v>A041</v>
      </c>
      <c r="E32">
        <v>0</v>
      </c>
      <c r="F32">
        <v>32</v>
      </c>
    </row>
    <row r="33" spans="1:6" x14ac:dyDescent="0.15">
      <c r="A33">
        <v>31</v>
      </c>
      <c r="B33" t="s">
        <v>76</v>
      </c>
      <c r="C33">
        <v>2</v>
      </c>
      <c r="D33" t="str">
        <f>BATTER_ABILITY_DETAIL!A43</f>
        <v>A042</v>
      </c>
      <c r="E33">
        <v>0</v>
      </c>
      <c r="F33">
        <v>33</v>
      </c>
    </row>
    <row r="34" spans="1:6" x14ac:dyDescent="0.15">
      <c r="A34">
        <v>32</v>
      </c>
      <c r="B34" t="s">
        <v>77</v>
      </c>
      <c r="C34">
        <v>2</v>
      </c>
      <c r="D34" t="str">
        <f>BATTER_ABILITY_DETAIL!A44</f>
        <v>A043</v>
      </c>
      <c r="E34">
        <v>0</v>
      </c>
      <c r="F34">
        <v>34</v>
      </c>
    </row>
    <row r="35" spans="1:6" x14ac:dyDescent="0.15">
      <c r="A35">
        <v>33</v>
      </c>
      <c r="B35" t="s">
        <v>78</v>
      </c>
      <c r="C35">
        <v>1</v>
      </c>
      <c r="D35" t="str">
        <f>BATTER_ABILITY_DETAIL!A45</f>
        <v>A044</v>
      </c>
      <c r="E35">
        <v>0</v>
      </c>
      <c r="F35">
        <v>35</v>
      </c>
    </row>
    <row r="36" spans="1:6" x14ac:dyDescent="0.15">
      <c r="A36">
        <v>34</v>
      </c>
      <c r="B36" t="s">
        <v>79</v>
      </c>
      <c r="C36">
        <v>0</v>
      </c>
      <c r="D36" t="str">
        <f>BATTER_ABILITY_DETAIL!A46</f>
        <v>A045</v>
      </c>
      <c r="E36">
        <v>0</v>
      </c>
      <c r="F36">
        <v>36</v>
      </c>
    </row>
    <row r="37" spans="1:6" x14ac:dyDescent="0.15">
      <c r="A37">
        <v>35</v>
      </c>
      <c r="B37" t="s">
        <v>173</v>
      </c>
      <c r="C37">
        <v>0</v>
      </c>
      <c r="D37" t="str">
        <f>BATTER_ABILITY_DETAIL!A47</f>
        <v>A046</v>
      </c>
      <c r="E37">
        <v>0</v>
      </c>
      <c r="F37">
        <v>37</v>
      </c>
    </row>
    <row r="38" spans="1:6" x14ac:dyDescent="0.15">
      <c r="A38">
        <v>36</v>
      </c>
      <c r="B38" t="s">
        <v>174</v>
      </c>
      <c r="C38">
        <v>0</v>
      </c>
      <c r="D38" t="str">
        <f>BATTER_ABILITY_DETAIL!A48</f>
        <v>A047</v>
      </c>
      <c r="E38">
        <v>0</v>
      </c>
      <c r="F38">
        <v>38</v>
      </c>
    </row>
    <row r="39" spans="1:6" x14ac:dyDescent="0.15">
      <c r="A39">
        <v>37</v>
      </c>
      <c r="B39" t="s">
        <v>181</v>
      </c>
      <c r="C39">
        <v>0</v>
      </c>
      <c r="D39" t="str">
        <f>BATTER_ABILITY_DETAIL!A52</f>
        <v>A051</v>
      </c>
      <c r="E39">
        <v>0</v>
      </c>
      <c r="F39">
        <v>39</v>
      </c>
    </row>
    <row r="40" spans="1:6" x14ac:dyDescent="0.15">
      <c r="A40">
        <v>38</v>
      </c>
      <c r="B40" t="s">
        <v>152</v>
      </c>
      <c r="C40">
        <v>0</v>
      </c>
      <c r="D40" t="str">
        <f>BATTER_ABILITY_DETAIL!A49</f>
        <v>A048</v>
      </c>
      <c r="E40">
        <v>0</v>
      </c>
      <c r="F40">
        <v>40</v>
      </c>
    </row>
    <row r="41" spans="1:6" x14ac:dyDescent="0.15">
      <c r="A41">
        <v>39</v>
      </c>
      <c r="B41" t="s">
        <v>182</v>
      </c>
      <c r="C41">
        <v>0</v>
      </c>
      <c r="D41" t="str">
        <f>BATTER_ABILITY_DETAIL!A50</f>
        <v>A049</v>
      </c>
      <c r="E41">
        <v>0</v>
      </c>
      <c r="F41">
        <v>41</v>
      </c>
    </row>
    <row r="42" spans="1:6" x14ac:dyDescent="0.15">
      <c r="A42">
        <v>40</v>
      </c>
      <c r="B42" t="s">
        <v>177</v>
      </c>
      <c r="C42">
        <v>0</v>
      </c>
      <c r="D42" t="str">
        <f>BATTER_ABILITY_DETAIL!A51</f>
        <v>A050</v>
      </c>
      <c r="E42">
        <v>0</v>
      </c>
      <c r="F42">
        <v>43</v>
      </c>
    </row>
    <row r="43" spans="1:6" x14ac:dyDescent="0.15">
      <c r="A43">
        <v>41</v>
      </c>
      <c r="B43" t="s">
        <v>110</v>
      </c>
      <c r="C43">
        <v>2</v>
      </c>
      <c r="D43" t="str">
        <f>BATTER_ABILITY_DETAIL!A86</f>
        <v>S023</v>
      </c>
      <c r="E43">
        <v>0</v>
      </c>
      <c r="F43">
        <v>101</v>
      </c>
    </row>
    <row r="44" spans="1:6" x14ac:dyDescent="0.15">
      <c r="A44">
        <v>42</v>
      </c>
      <c r="B44" t="s">
        <v>148</v>
      </c>
      <c r="C44">
        <v>9</v>
      </c>
      <c r="D44" t="str">
        <f>BATTER_ABILITY_DETAIL!A117</f>
        <v>B016</v>
      </c>
      <c r="E44">
        <v>3</v>
      </c>
      <c r="F44">
        <v>201</v>
      </c>
    </row>
    <row r="45" spans="1:6" x14ac:dyDescent="0.15">
      <c r="A45">
        <v>43</v>
      </c>
      <c r="B45" t="s">
        <v>149</v>
      </c>
      <c r="C45">
        <v>9</v>
      </c>
      <c r="D45" t="str">
        <f>BATTER_ABILITY_DETAIL!A118</f>
        <v>B017</v>
      </c>
      <c r="E45">
        <v>0</v>
      </c>
      <c r="F45">
        <v>203</v>
      </c>
    </row>
    <row r="46" spans="1:6" x14ac:dyDescent="0.15">
      <c r="A46">
        <v>44</v>
      </c>
      <c r="B46" t="s">
        <v>150</v>
      </c>
      <c r="C46">
        <v>9</v>
      </c>
      <c r="D46" t="str">
        <f>BATTER_ABILITY_DETAIL!A119</f>
        <v>B018</v>
      </c>
      <c r="E46">
        <v>0</v>
      </c>
      <c r="F46">
        <v>204</v>
      </c>
    </row>
    <row r="47" spans="1:6" x14ac:dyDescent="0.15">
      <c r="A47">
        <v>45</v>
      </c>
      <c r="B47" t="s">
        <v>183</v>
      </c>
      <c r="C47">
        <v>2</v>
      </c>
      <c r="D47" t="str">
        <f>BATTER_ABILITY_DETAIL!A88</f>
        <v>S025</v>
      </c>
      <c r="E47">
        <v>0</v>
      </c>
      <c r="F47">
        <v>102</v>
      </c>
    </row>
    <row r="48" spans="1:6" x14ac:dyDescent="0.15">
      <c r="A48">
        <v>46</v>
      </c>
      <c r="B48" t="s">
        <v>186</v>
      </c>
      <c r="C48">
        <v>0</v>
      </c>
      <c r="D48" t="str">
        <f>BATTER_ABILITY_DETAIL!A53</f>
        <v>A052</v>
      </c>
      <c r="E48">
        <v>0</v>
      </c>
      <c r="F48">
        <v>42</v>
      </c>
    </row>
    <row r="49" spans="1:6" x14ac:dyDescent="0.15">
      <c r="A49">
        <v>47</v>
      </c>
      <c r="B49" t="s">
        <v>188</v>
      </c>
      <c r="C49">
        <v>0</v>
      </c>
      <c r="D49" t="str">
        <f>BATTER_ABILITY_DETAIL!A18</f>
        <v>A017</v>
      </c>
      <c r="E49">
        <v>1</v>
      </c>
      <c r="F49">
        <v>9</v>
      </c>
    </row>
    <row r="50" spans="1:6" x14ac:dyDescent="0.15">
      <c r="A50">
        <v>48</v>
      </c>
      <c r="B50" t="s">
        <v>189</v>
      </c>
      <c r="C50">
        <v>0</v>
      </c>
      <c r="D50" t="str">
        <f>BATTER_ABILITY_DETAIL!A37</f>
        <v>A036</v>
      </c>
      <c r="E50">
        <v>2</v>
      </c>
      <c r="F50">
        <v>27</v>
      </c>
    </row>
    <row r="51" spans="1:6" x14ac:dyDescent="0.15">
      <c r="A51">
        <v>49</v>
      </c>
      <c r="B51" t="s">
        <v>190</v>
      </c>
      <c r="C51">
        <v>9</v>
      </c>
      <c r="D51" t="str">
        <f>BATTER_ABILITY_DETAIL!A121</f>
        <v>P001</v>
      </c>
      <c r="E51">
        <v>3</v>
      </c>
      <c r="F51">
        <v>202</v>
      </c>
    </row>
    <row r="52" spans="1:6" x14ac:dyDescent="0.15">
      <c r="A52">
        <v>50</v>
      </c>
      <c r="B52" t="s">
        <v>193</v>
      </c>
      <c r="C52">
        <v>0</v>
      </c>
      <c r="D52" t="str">
        <f>BATTER_ABILITY_DETAIL!A54</f>
        <v>A053</v>
      </c>
      <c r="E52">
        <v>0</v>
      </c>
      <c r="F52">
        <v>44</v>
      </c>
    </row>
    <row r="53" spans="1:6" x14ac:dyDescent="0.15">
      <c r="A53">
        <v>51</v>
      </c>
      <c r="B53" t="s">
        <v>199</v>
      </c>
      <c r="C53">
        <v>0</v>
      </c>
      <c r="D53" t="str">
        <f>BATTER_ABILITY_DETAIL!A55</f>
        <v>A054</v>
      </c>
      <c r="E53">
        <v>0</v>
      </c>
      <c r="F53">
        <v>45</v>
      </c>
    </row>
    <row r="54" spans="1:6" x14ac:dyDescent="0.15">
      <c r="A54">
        <v>52</v>
      </c>
      <c r="B54" t="s">
        <v>200</v>
      </c>
      <c r="C54">
        <v>0</v>
      </c>
      <c r="D54" t="str">
        <f>BATTER_ABILITY_DETAIL!A56</f>
        <v>A055</v>
      </c>
      <c r="E54">
        <v>0</v>
      </c>
      <c r="F54">
        <v>46</v>
      </c>
    </row>
    <row r="55" spans="1:6" x14ac:dyDescent="0.15">
      <c r="A55">
        <v>53</v>
      </c>
      <c r="B55" t="s">
        <v>201</v>
      </c>
      <c r="C55">
        <v>2</v>
      </c>
      <c r="D55" t="str">
        <f>BATTER_ABILITY_DETAIL!A93</f>
        <v>S030</v>
      </c>
      <c r="E55">
        <v>0</v>
      </c>
      <c r="F55">
        <v>103</v>
      </c>
    </row>
    <row r="56" spans="1:6" x14ac:dyDescent="0.15">
      <c r="A56">
        <v>54</v>
      </c>
      <c r="B56" t="s">
        <v>204</v>
      </c>
      <c r="C56">
        <v>0</v>
      </c>
      <c r="D56" t="str">
        <f>BATTER_ABILITY_DETAIL!A57</f>
        <v>A056</v>
      </c>
      <c r="E56">
        <v>0</v>
      </c>
      <c r="F56">
        <v>47</v>
      </c>
    </row>
    <row r="57" spans="1:6" x14ac:dyDescent="0.15">
      <c r="A57">
        <v>55</v>
      </c>
      <c r="B57" t="s">
        <v>203</v>
      </c>
      <c r="C57">
        <v>0</v>
      </c>
      <c r="D57" t="str">
        <f>BATTER_ABILITY_DETAIL!A58</f>
        <v>A057</v>
      </c>
      <c r="E57">
        <v>0</v>
      </c>
      <c r="F57">
        <v>48</v>
      </c>
    </row>
    <row r="58" spans="1:6" x14ac:dyDescent="0.15">
      <c r="A58">
        <v>56</v>
      </c>
      <c r="B58" t="s">
        <v>214</v>
      </c>
      <c r="C58">
        <v>0</v>
      </c>
      <c r="D58" t="str">
        <f>BATTER_ABILITY_DETAIL!A60</f>
        <v>A059</v>
      </c>
      <c r="E58">
        <v>0</v>
      </c>
      <c r="F58">
        <v>49</v>
      </c>
    </row>
    <row r="59" spans="1:6" x14ac:dyDescent="0.15">
      <c r="A59">
        <v>57</v>
      </c>
      <c r="B59" t="s">
        <v>215</v>
      </c>
      <c r="C59">
        <v>2</v>
      </c>
      <c r="D59" t="str">
        <f>BATTER_ABILITY_DETAIL!A98</f>
        <v>S035</v>
      </c>
      <c r="E59">
        <v>0</v>
      </c>
      <c r="F59">
        <v>104</v>
      </c>
    </row>
    <row r="60" spans="1:6" x14ac:dyDescent="0.15">
      <c r="A60">
        <v>58</v>
      </c>
      <c r="B60" t="s">
        <v>216</v>
      </c>
      <c r="C60">
        <v>0</v>
      </c>
      <c r="D60" t="str">
        <f>BATTER_ABILITY_DETAIL!A61</f>
        <v>A060</v>
      </c>
      <c r="E60">
        <v>0</v>
      </c>
      <c r="F60">
        <v>50</v>
      </c>
    </row>
    <row r="61" spans="1:6" x14ac:dyDescent="0.15">
      <c r="A61">
        <v>59</v>
      </c>
      <c r="B61" t="s">
        <v>217</v>
      </c>
      <c r="C61">
        <v>0</v>
      </c>
      <c r="D61" t="str">
        <f>BATTER_ABILITY_DETAIL!A62</f>
        <v>A061</v>
      </c>
      <c r="E61">
        <v>0</v>
      </c>
      <c r="F61">
        <v>51</v>
      </c>
    </row>
    <row r="62" spans="1:6" x14ac:dyDescent="0.15">
      <c r="A62">
        <v>60</v>
      </c>
      <c r="B62" t="s">
        <v>218</v>
      </c>
      <c r="C62">
        <v>0</v>
      </c>
      <c r="D62" t="str">
        <f>BATTER_ABILITY_DETAIL!A63</f>
        <v>A062</v>
      </c>
      <c r="E62">
        <v>0</v>
      </c>
      <c r="F62">
        <v>52</v>
      </c>
    </row>
    <row r="63" spans="1:6" x14ac:dyDescent="0.15">
      <c r="A63">
        <v>61</v>
      </c>
      <c r="B63" t="s">
        <v>357</v>
      </c>
      <c r="C63">
        <v>9</v>
      </c>
      <c r="D63" t="str">
        <f>BATTER_ABILITY_DETAIL!A120</f>
        <v>B019</v>
      </c>
      <c r="E63">
        <v>0</v>
      </c>
      <c r="F63">
        <v>205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7</xdr:col>
                    <xdr:colOff>85725</xdr:colOff>
                    <xdr:row>0</xdr:row>
                    <xdr:rowOff>9525</xdr:rowOff>
                  </from>
                  <to>
                    <xdr:col>9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MakeInsertNoID">
                <anchor moveWithCells="1" sizeWithCells="1">
                  <from>
                    <xdr:col>7</xdr:col>
                    <xdr:colOff>104775</xdr:colOff>
                    <xdr:row>3</xdr:row>
                    <xdr:rowOff>9525</xdr:rowOff>
                  </from>
                  <to>
                    <xdr:col>9</xdr:col>
                    <xdr:colOff>219075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5"/>
  <sheetViews>
    <sheetView workbookViewId="0"/>
  </sheetViews>
  <sheetFormatPr defaultRowHeight="13.5" x14ac:dyDescent="0.15"/>
  <sheetData>
    <row r="1" spans="1:7" x14ac:dyDescent="0.15">
      <c r="A1" t="s">
        <v>113</v>
      </c>
      <c r="B1" t="s">
        <v>112</v>
      </c>
      <c r="C1" t="s">
        <v>0</v>
      </c>
      <c r="D1" t="s">
        <v>1</v>
      </c>
      <c r="E1" t="s">
        <v>2</v>
      </c>
      <c r="F1" t="s">
        <v>3</v>
      </c>
      <c r="G1" t="s">
        <v>4</v>
      </c>
    </row>
    <row r="2" spans="1:7" x14ac:dyDescent="0.15">
      <c r="A2">
        <v>0</v>
      </c>
      <c r="B2" t="s">
        <v>153</v>
      </c>
      <c r="C2">
        <v>0</v>
      </c>
      <c r="D2">
        <v>17</v>
      </c>
      <c r="E2">
        <v>24</v>
      </c>
      <c r="F2">
        <v>0</v>
      </c>
      <c r="G2">
        <v>19</v>
      </c>
    </row>
    <row r="3" spans="1:7" x14ac:dyDescent="0.15">
      <c r="A3">
        <v>1</v>
      </c>
      <c r="B3" t="s">
        <v>154</v>
      </c>
      <c r="C3">
        <v>0</v>
      </c>
      <c r="D3">
        <v>25</v>
      </c>
      <c r="E3">
        <v>36</v>
      </c>
      <c r="F3">
        <v>0</v>
      </c>
      <c r="G3">
        <v>29</v>
      </c>
    </row>
    <row r="4" spans="1:7" x14ac:dyDescent="0.15">
      <c r="A4">
        <v>2</v>
      </c>
      <c r="B4" t="s">
        <v>155</v>
      </c>
      <c r="C4">
        <v>0</v>
      </c>
      <c r="D4">
        <v>34</v>
      </c>
      <c r="E4">
        <v>48</v>
      </c>
      <c r="F4">
        <v>0</v>
      </c>
      <c r="G4">
        <v>38</v>
      </c>
    </row>
    <row r="5" spans="1:7" x14ac:dyDescent="0.15">
      <c r="A5">
        <v>3</v>
      </c>
      <c r="B5" t="s">
        <v>156</v>
      </c>
      <c r="C5">
        <v>0</v>
      </c>
      <c r="D5">
        <v>10</v>
      </c>
      <c r="E5">
        <v>14</v>
      </c>
      <c r="F5">
        <v>0</v>
      </c>
      <c r="G5">
        <v>11</v>
      </c>
    </row>
    <row r="6" spans="1:7" x14ac:dyDescent="0.15">
      <c r="A6">
        <v>4</v>
      </c>
      <c r="B6" t="s">
        <v>157</v>
      </c>
      <c r="C6">
        <v>0</v>
      </c>
      <c r="D6">
        <v>15</v>
      </c>
      <c r="E6">
        <v>21</v>
      </c>
      <c r="F6">
        <v>0</v>
      </c>
      <c r="G6">
        <v>17</v>
      </c>
    </row>
    <row r="7" spans="1:7" x14ac:dyDescent="0.15">
      <c r="A7">
        <v>5</v>
      </c>
      <c r="B7" t="s">
        <v>158</v>
      </c>
      <c r="C7">
        <v>0</v>
      </c>
      <c r="D7">
        <v>20</v>
      </c>
      <c r="E7">
        <v>28</v>
      </c>
      <c r="F7">
        <v>0</v>
      </c>
      <c r="G7">
        <v>22</v>
      </c>
    </row>
    <row r="8" spans="1:7" x14ac:dyDescent="0.15">
      <c r="A8">
        <v>6</v>
      </c>
      <c r="B8" t="s">
        <v>159</v>
      </c>
      <c r="C8">
        <v>0</v>
      </c>
      <c r="D8">
        <v>14</v>
      </c>
      <c r="E8">
        <v>20</v>
      </c>
      <c r="F8">
        <v>0</v>
      </c>
      <c r="G8">
        <v>16</v>
      </c>
    </row>
    <row r="9" spans="1:7" x14ac:dyDescent="0.15">
      <c r="A9">
        <v>7</v>
      </c>
      <c r="B9" t="s">
        <v>160</v>
      </c>
      <c r="C9">
        <v>0</v>
      </c>
      <c r="D9">
        <v>21</v>
      </c>
      <c r="E9">
        <v>30</v>
      </c>
      <c r="F9">
        <v>0</v>
      </c>
      <c r="G9">
        <v>24</v>
      </c>
    </row>
    <row r="10" spans="1:7" x14ac:dyDescent="0.15">
      <c r="A10">
        <v>8</v>
      </c>
      <c r="B10" t="s">
        <v>161</v>
      </c>
      <c r="C10">
        <v>0</v>
      </c>
      <c r="D10">
        <v>28</v>
      </c>
      <c r="E10">
        <v>40</v>
      </c>
      <c r="F10">
        <v>0</v>
      </c>
      <c r="G10">
        <v>32</v>
      </c>
    </row>
    <row r="11" spans="1:7" x14ac:dyDescent="0.15">
      <c r="A11">
        <v>9</v>
      </c>
      <c r="B11" t="s">
        <v>162</v>
      </c>
      <c r="C11">
        <v>0</v>
      </c>
      <c r="D11">
        <v>13</v>
      </c>
      <c r="E11">
        <v>18</v>
      </c>
      <c r="F11">
        <v>0</v>
      </c>
      <c r="G11">
        <v>14</v>
      </c>
    </row>
    <row r="12" spans="1:7" x14ac:dyDescent="0.15">
      <c r="A12">
        <v>10</v>
      </c>
      <c r="B12" t="s">
        <v>163</v>
      </c>
      <c r="C12">
        <v>0</v>
      </c>
      <c r="D12">
        <v>19</v>
      </c>
      <c r="E12">
        <v>27</v>
      </c>
      <c r="F12">
        <v>0</v>
      </c>
      <c r="G12">
        <v>22</v>
      </c>
    </row>
    <row r="13" spans="1:7" x14ac:dyDescent="0.15">
      <c r="A13">
        <v>11</v>
      </c>
      <c r="B13" t="s">
        <v>164</v>
      </c>
      <c r="C13">
        <v>0</v>
      </c>
      <c r="D13">
        <v>25</v>
      </c>
      <c r="E13">
        <v>36</v>
      </c>
      <c r="F13">
        <v>0</v>
      </c>
      <c r="G13">
        <v>29</v>
      </c>
    </row>
    <row r="14" spans="1:7" x14ac:dyDescent="0.15">
      <c r="A14">
        <v>12</v>
      </c>
      <c r="B14" t="s">
        <v>165</v>
      </c>
      <c r="C14">
        <v>0</v>
      </c>
      <c r="D14">
        <v>14</v>
      </c>
      <c r="E14">
        <v>20</v>
      </c>
      <c r="F14">
        <v>0</v>
      </c>
      <c r="G14">
        <v>16</v>
      </c>
    </row>
    <row r="15" spans="1:7" x14ac:dyDescent="0.15">
      <c r="A15">
        <v>13</v>
      </c>
      <c r="B15" t="s">
        <v>166</v>
      </c>
      <c r="C15">
        <v>0</v>
      </c>
      <c r="D15">
        <v>21</v>
      </c>
      <c r="E15">
        <v>30</v>
      </c>
      <c r="F15">
        <v>0</v>
      </c>
      <c r="G15">
        <v>24</v>
      </c>
    </row>
    <row r="16" spans="1:7" x14ac:dyDescent="0.15">
      <c r="A16">
        <v>14</v>
      </c>
      <c r="B16" t="s">
        <v>167</v>
      </c>
      <c r="C16">
        <v>0</v>
      </c>
      <c r="D16">
        <v>28</v>
      </c>
      <c r="E16">
        <v>40</v>
      </c>
      <c r="F16">
        <v>0</v>
      </c>
      <c r="G16">
        <v>32</v>
      </c>
    </row>
    <row r="17" spans="1:7" x14ac:dyDescent="0.15">
      <c r="A17">
        <v>15</v>
      </c>
      <c r="B17" t="s">
        <v>168</v>
      </c>
      <c r="C17">
        <v>0</v>
      </c>
      <c r="D17">
        <v>11</v>
      </c>
      <c r="E17">
        <v>16</v>
      </c>
      <c r="F17">
        <v>0</v>
      </c>
      <c r="G17">
        <v>13</v>
      </c>
    </row>
    <row r="18" spans="1:7" x14ac:dyDescent="0.15">
      <c r="A18">
        <v>16</v>
      </c>
      <c r="B18" t="s">
        <v>169</v>
      </c>
      <c r="C18">
        <v>0</v>
      </c>
      <c r="D18">
        <v>17</v>
      </c>
      <c r="E18">
        <v>24</v>
      </c>
      <c r="F18">
        <v>0</v>
      </c>
      <c r="G18">
        <v>19</v>
      </c>
    </row>
    <row r="19" spans="1:7" x14ac:dyDescent="0.15">
      <c r="A19">
        <v>17</v>
      </c>
      <c r="B19" t="s">
        <v>170</v>
      </c>
      <c r="C19">
        <v>0</v>
      </c>
      <c r="D19">
        <v>22</v>
      </c>
      <c r="E19">
        <v>32</v>
      </c>
      <c r="F19">
        <v>0</v>
      </c>
      <c r="G19">
        <v>26</v>
      </c>
    </row>
    <row r="20" spans="1:7" x14ac:dyDescent="0.15">
      <c r="A20">
        <v>18</v>
      </c>
      <c r="B20" t="s">
        <v>114</v>
      </c>
      <c r="C20">
        <v>0</v>
      </c>
      <c r="D20">
        <v>5</v>
      </c>
      <c r="E20">
        <v>10</v>
      </c>
      <c r="F20">
        <v>0</v>
      </c>
      <c r="G20">
        <v>10</v>
      </c>
    </row>
    <row r="21" spans="1:7" x14ac:dyDescent="0.15">
      <c r="A21">
        <v>19</v>
      </c>
      <c r="B21" t="s">
        <v>115</v>
      </c>
      <c r="C21">
        <v>0</v>
      </c>
      <c r="D21">
        <v>10</v>
      </c>
      <c r="E21">
        <v>20</v>
      </c>
      <c r="F21">
        <v>0</v>
      </c>
      <c r="G21">
        <v>20</v>
      </c>
    </row>
    <row r="22" spans="1:7" x14ac:dyDescent="0.15">
      <c r="A22">
        <v>20</v>
      </c>
      <c r="B22" t="s">
        <v>116</v>
      </c>
      <c r="C22">
        <v>0</v>
      </c>
      <c r="D22">
        <v>5</v>
      </c>
      <c r="E22">
        <v>10</v>
      </c>
      <c r="F22">
        <v>0</v>
      </c>
      <c r="G22">
        <v>10</v>
      </c>
    </row>
    <row r="23" spans="1:7" x14ac:dyDescent="0.15">
      <c r="A23">
        <v>21</v>
      </c>
      <c r="B23" t="s">
        <v>117</v>
      </c>
      <c r="C23">
        <v>0</v>
      </c>
      <c r="D23">
        <v>10</v>
      </c>
      <c r="E23">
        <v>20</v>
      </c>
      <c r="F23">
        <v>0</v>
      </c>
      <c r="G23">
        <v>20</v>
      </c>
    </row>
    <row r="24" spans="1:7" x14ac:dyDescent="0.15">
      <c r="A24">
        <v>22</v>
      </c>
      <c r="B24" t="s">
        <v>118</v>
      </c>
      <c r="C24">
        <v>0</v>
      </c>
      <c r="D24">
        <v>5</v>
      </c>
      <c r="E24">
        <v>10</v>
      </c>
      <c r="F24">
        <v>0</v>
      </c>
      <c r="G24">
        <v>10</v>
      </c>
    </row>
    <row r="25" spans="1:7" x14ac:dyDescent="0.15">
      <c r="A25">
        <v>23</v>
      </c>
      <c r="B25" t="s">
        <v>119</v>
      </c>
      <c r="C25">
        <v>0</v>
      </c>
      <c r="D25">
        <v>10</v>
      </c>
      <c r="E25">
        <v>20</v>
      </c>
      <c r="F25">
        <v>0</v>
      </c>
      <c r="G25">
        <v>20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"/>
  <sheetViews>
    <sheetView workbookViewId="0">
      <selection sqref="A1:XFD1"/>
    </sheetView>
  </sheetViews>
  <sheetFormatPr defaultRowHeight="13.5" x14ac:dyDescent="0.15"/>
  <sheetData>
    <row r="1" spans="1:7" x14ac:dyDescent="0.15">
      <c r="A1" t="s">
        <v>171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172</v>
      </c>
    </row>
    <row r="2" spans="1:7" x14ac:dyDescent="0.15">
      <c r="A2">
        <f>野手基礎能力!B2</f>
        <v>2</v>
      </c>
      <c r="B2">
        <f>野手基礎能力!C2</f>
        <v>10</v>
      </c>
      <c r="C2">
        <f>野手基礎能力!D2</f>
        <v>0</v>
      </c>
      <c r="D2">
        <f>野手基礎能力!E2</f>
        <v>10</v>
      </c>
      <c r="E2">
        <f>野手基礎能力!F2</f>
        <v>0</v>
      </c>
      <c r="F2">
        <f>野手基礎能力!G2</f>
        <v>10</v>
      </c>
      <c r="G2">
        <f>野手基礎能力!H2</f>
        <v>0</v>
      </c>
    </row>
    <row r="3" spans="1:7" x14ac:dyDescent="0.15">
      <c r="A3">
        <f>野手基礎能力!B3</f>
        <v>3</v>
      </c>
      <c r="B3">
        <f>野手基礎能力!C3</f>
        <v>30</v>
      </c>
      <c r="C3">
        <f>野手基礎能力!D3</f>
        <v>0</v>
      </c>
      <c r="D3">
        <f>野手基礎能力!E3</f>
        <v>30</v>
      </c>
      <c r="E3">
        <f>野手基礎能力!F3</f>
        <v>0</v>
      </c>
      <c r="F3">
        <f>野手基礎能力!G3</f>
        <v>30</v>
      </c>
      <c r="G3">
        <f>野手基礎能力!H3</f>
        <v>42</v>
      </c>
    </row>
    <row r="4" spans="1:7" x14ac:dyDescent="0.15">
      <c r="A4">
        <f>野手基礎能力!B4</f>
        <v>4</v>
      </c>
      <c r="B4">
        <f>野手基礎能力!C4</f>
        <v>50</v>
      </c>
      <c r="C4">
        <f>野手基礎能力!D4</f>
        <v>0</v>
      </c>
      <c r="D4">
        <f>野手基礎能力!E4</f>
        <v>50</v>
      </c>
      <c r="E4">
        <f>野手基礎能力!F4</f>
        <v>0</v>
      </c>
      <c r="F4">
        <f>野手基礎能力!G4</f>
        <v>50</v>
      </c>
      <c r="G4">
        <f>野手基礎能力!H4</f>
        <v>14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2"/>
  <sheetViews>
    <sheetView workbookViewId="0">
      <selection sqref="A1:XFD1"/>
    </sheetView>
  </sheetViews>
  <sheetFormatPr defaultRowHeight="13.5" x14ac:dyDescent="0.15"/>
  <sheetData>
    <row r="1" spans="1:7" x14ac:dyDescent="0.15">
      <c r="A1" t="s">
        <v>171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172</v>
      </c>
    </row>
    <row r="2" spans="1:7" x14ac:dyDescent="0.15">
      <c r="A2" t="str">
        <f>野手基礎能力!B5</f>
        <v>G(1～10)</v>
      </c>
      <c r="B2">
        <f>野手基礎能力!C5</f>
        <v>1</v>
      </c>
      <c r="C2">
        <f>野手基礎能力!D5</f>
        <v>0</v>
      </c>
      <c r="D2">
        <f>野手基礎能力!E5</f>
        <v>2</v>
      </c>
      <c r="E2">
        <f>野手基礎能力!F5</f>
        <v>0</v>
      </c>
      <c r="F2">
        <f>野手基礎能力!G5</f>
        <v>1</v>
      </c>
      <c r="G2">
        <f>野手基礎能力!H5</f>
        <v>0</v>
      </c>
    </row>
    <row r="3" spans="1:7" x14ac:dyDescent="0.15">
      <c r="A3" t="str">
        <f>野手基礎能力!B6</f>
        <v>G(11～20)</v>
      </c>
      <c r="B3">
        <f>野手基礎能力!C6</f>
        <v>1</v>
      </c>
      <c r="C3">
        <f>野手基礎能力!D6</f>
        <v>0</v>
      </c>
      <c r="D3">
        <f>野手基礎能力!E6</f>
        <v>4</v>
      </c>
      <c r="E3">
        <f>野手基礎能力!F6</f>
        <v>0</v>
      </c>
      <c r="F3">
        <f>野手基礎能力!G6</f>
        <v>3</v>
      </c>
      <c r="G3">
        <f>野手基礎能力!H6</f>
        <v>0</v>
      </c>
    </row>
    <row r="4" spans="1:7" x14ac:dyDescent="0.15">
      <c r="A4" t="str">
        <f>野手基礎能力!B7</f>
        <v>F(21～30)</v>
      </c>
      <c r="B4">
        <f>野手基礎能力!C7</f>
        <v>1</v>
      </c>
      <c r="C4">
        <f>野手基礎能力!D7</f>
        <v>0</v>
      </c>
      <c r="D4">
        <f>野手基礎能力!E7</f>
        <v>6</v>
      </c>
      <c r="E4">
        <f>野手基礎能力!F7</f>
        <v>0</v>
      </c>
      <c r="F4">
        <f>野手基礎能力!G7</f>
        <v>4</v>
      </c>
      <c r="G4">
        <f>野手基礎能力!H7</f>
        <v>0</v>
      </c>
    </row>
    <row r="5" spans="1:7" x14ac:dyDescent="0.15">
      <c r="A5" t="str">
        <f>野手基礎能力!B8</f>
        <v>F(31～40)</v>
      </c>
      <c r="B5">
        <f>野手基礎能力!C8</f>
        <v>2</v>
      </c>
      <c r="C5">
        <f>野手基礎能力!D8</f>
        <v>0</v>
      </c>
      <c r="D5">
        <f>野手基礎能力!E8</f>
        <v>8</v>
      </c>
      <c r="E5">
        <f>野手基礎能力!F8</f>
        <v>0</v>
      </c>
      <c r="F5">
        <f>野手基礎能力!G8</f>
        <v>6</v>
      </c>
      <c r="G5">
        <f>野手基礎能力!H8</f>
        <v>0</v>
      </c>
    </row>
    <row r="6" spans="1:7" x14ac:dyDescent="0.15">
      <c r="A6" t="str">
        <f>野手基礎能力!B9</f>
        <v>E(41～50)</v>
      </c>
      <c r="B6">
        <f>野手基礎能力!C9</f>
        <v>3</v>
      </c>
      <c r="C6">
        <f>野手基礎能力!D9</f>
        <v>0</v>
      </c>
      <c r="D6">
        <f>野手基礎能力!E9</f>
        <v>10</v>
      </c>
      <c r="E6">
        <f>野手基礎能力!F9</f>
        <v>0</v>
      </c>
      <c r="F6">
        <f>野手基礎能力!G9</f>
        <v>8</v>
      </c>
      <c r="G6">
        <f>野手基礎能力!H9</f>
        <v>42</v>
      </c>
    </row>
    <row r="7" spans="1:7" x14ac:dyDescent="0.15">
      <c r="A7" t="str">
        <f>野手基礎能力!B10</f>
        <v>D(51～60)</v>
      </c>
      <c r="B7">
        <f>野手基礎能力!C10</f>
        <v>3</v>
      </c>
      <c r="C7">
        <f>野手基礎能力!D10</f>
        <v>0</v>
      </c>
      <c r="D7">
        <f>野手基礎能力!E10</f>
        <v>12</v>
      </c>
      <c r="E7">
        <f>野手基礎能力!F10</f>
        <v>0</v>
      </c>
      <c r="F7">
        <f>野手基礎能力!G10</f>
        <v>9</v>
      </c>
      <c r="G7">
        <f>野手基礎能力!H10</f>
        <v>42</v>
      </c>
    </row>
    <row r="8" spans="1:7" x14ac:dyDescent="0.15">
      <c r="A8" t="str">
        <f>野手基礎能力!B11</f>
        <v>C(61～70)</v>
      </c>
      <c r="B8">
        <f>野手基礎能力!C11</f>
        <v>3</v>
      </c>
      <c r="C8">
        <f>野手基礎能力!D11</f>
        <v>0</v>
      </c>
      <c r="D8">
        <f>野手基礎能力!E11</f>
        <v>14</v>
      </c>
      <c r="E8">
        <f>野手基礎能力!F11</f>
        <v>0</v>
      </c>
      <c r="F8">
        <f>野手基礎能力!G11</f>
        <v>11</v>
      </c>
      <c r="G8">
        <f>野手基礎能力!H11</f>
        <v>42</v>
      </c>
    </row>
    <row r="9" spans="1:7" x14ac:dyDescent="0.15">
      <c r="A9" t="str">
        <f>野手基礎能力!B12</f>
        <v>B(71～80)</v>
      </c>
      <c r="B9">
        <f>野手基礎能力!C12</f>
        <v>4</v>
      </c>
      <c r="C9">
        <f>野手基礎能力!D12</f>
        <v>0</v>
      </c>
      <c r="D9">
        <f>野手基礎能力!E12</f>
        <v>16</v>
      </c>
      <c r="E9">
        <f>野手基礎能力!F12</f>
        <v>0</v>
      </c>
      <c r="F9">
        <f>野手基礎能力!G12</f>
        <v>12</v>
      </c>
      <c r="G9">
        <f>野手基礎能力!H12</f>
        <v>84</v>
      </c>
    </row>
    <row r="10" spans="1:7" x14ac:dyDescent="0.15">
      <c r="A10" t="str">
        <f>野手基礎能力!B13</f>
        <v>A(81～90)</v>
      </c>
      <c r="B10">
        <f>野手基礎能力!C13</f>
        <v>4</v>
      </c>
      <c r="C10">
        <f>野手基礎能力!D13</f>
        <v>0</v>
      </c>
      <c r="D10">
        <f>野手基礎能力!E13</f>
        <v>18</v>
      </c>
      <c r="E10">
        <f>野手基礎能力!F13</f>
        <v>0</v>
      </c>
      <c r="F10">
        <f>野手基礎能力!G13</f>
        <v>14</v>
      </c>
      <c r="G10">
        <f>野手基礎能力!H13</f>
        <v>56</v>
      </c>
    </row>
    <row r="11" spans="1:7" x14ac:dyDescent="0.15">
      <c r="A11" t="str">
        <f>野手基礎能力!B14</f>
        <v>S(91～99)</v>
      </c>
      <c r="B11">
        <f>野手基礎能力!C14</f>
        <v>5</v>
      </c>
      <c r="C11">
        <f>野手基礎能力!D14</f>
        <v>0</v>
      </c>
      <c r="D11">
        <f>野手基礎能力!E14</f>
        <v>20</v>
      </c>
      <c r="E11">
        <f>野手基礎能力!F14</f>
        <v>0</v>
      </c>
      <c r="F11">
        <f>野手基礎能力!G14</f>
        <v>15</v>
      </c>
      <c r="G11">
        <f>野手基礎能力!H15</f>
        <v>14</v>
      </c>
    </row>
    <row r="12" spans="1:7" x14ac:dyDescent="0.15">
      <c r="A12" t="str">
        <f>野手基礎能力!B15</f>
        <v>S(100)</v>
      </c>
      <c r="B12">
        <f>野手基礎能力!C15</f>
        <v>15</v>
      </c>
      <c r="C12">
        <f>野手基礎能力!D15</f>
        <v>0</v>
      </c>
      <c r="D12">
        <f>野手基礎能力!E15</f>
        <v>60</v>
      </c>
      <c r="E12">
        <f>野手基礎能力!F15</f>
        <v>0</v>
      </c>
      <c r="F12">
        <f>野手基礎能力!G15</f>
        <v>45</v>
      </c>
      <c r="G12"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2"/>
  <sheetViews>
    <sheetView workbookViewId="0">
      <selection sqref="A1:XFD1"/>
    </sheetView>
  </sheetViews>
  <sheetFormatPr defaultRowHeight="13.5" x14ac:dyDescent="0.15"/>
  <sheetData>
    <row r="1" spans="1:7" x14ac:dyDescent="0.15">
      <c r="A1" t="s">
        <v>171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172</v>
      </c>
    </row>
    <row r="2" spans="1:7" x14ac:dyDescent="0.15">
      <c r="A2" t="str">
        <f>野手基礎能力!B16</f>
        <v>G(1～10)</v>
      </c>
      <c r="B2">
        <f>野手基礎能力!C16</f>
        <v>3</v>
      </c>
      <c r="C2">
        <f>野手基礎能力!D16</f>
        <v>0</v>
      </c>
      <c r="D2">
        <f>野手基礎能力!E16</f>
        <v>1</v>
      </c>
      <c r="E2">
        <f>野手基礎能力!F16</f>
        <v>0</v>
      </c>
      <c r="F2">
        <f>野手基礎能力!G16</f>
        <v>0</v>
      </c>
      <c r="G2">
        <f>野手基礎能力!H16</f>
        <v>0</v>
      </c>
    </row>
    <row r="3" spans="1:7" x14ac:dyDescent="0.15">
      <c r="A3" t="str">
        <f>野手基礎能力!B17</f>
        <v>G(11～20)</v>
      </c>
      <c r="B3">
        <f>野手基礎能力!C17</f>
        <v>6</v>
      </c>
      <c r="C3">
        <f>野手基礎能力!D17</f>
        <v>0</v>
      </c>
      <c r="D3">
        <f>野手基礎能力!E17</f>
        <v>2</v>
      </c>
      <c r="E3">
        <f>野手基礎能力!F17</f>
        <v>0</v>
      </c>
      <c r="F3">
        <f>野手基礎能力!G17</f>
        <v>0</v>
      </c>
      <c r="G3">
        <f>野手基礎能力!H17</f>
        <v>0</v>
      </c>
    </row>
    <row r="4" spans="1:7" x14ac:dyDescent="0.15">
      <c r="A4" t="str">
        <f>野手基礎能力!B18</f>
        <v>F(21～30)</v>
      </c>
      <c r="B4">
        <f>野手基礎能力!C18</f>
        <v>9</v>
      </c>
      <c r="C4">
        <f>野手基礎能力!D18</f>
        <v>0</v>
      </c>
      <c r="D4">
        <f>野手基礎能力!E18</f>
        <v>3</v>
      </c>
      <c r="E4">
        <f>野手基礎能力!F18</f>
        <v>0</v>
      </c>
      <c r="F4">
        <f>野手基礎能力!G18</f>
        <v>0</v>
      </c>
      <c r="G4">
        <f>野手基礎能力!H18</f>
        <v>0</v>
      </c>
    </row>
    <row r="5" spans="1:7" x14ac:dyDescent="0.15">
      <c r="A5" t="str">
        <f>野手基礎能力!B19</f>
        <v>F(31～40)</v>
      </c>
      <c r="B5">
        <f>野手基礎能力!C19</f>
        <v>12</v>
      </c>
      <c r="C5">
        <f>野手基礎能力!D19</f>
        <v>0</v>
      </c>
      <c r="D5">
        <f>野手基礎能力!E19</f>
        <v>4</v>
      </c>
      <c r="E5">
        <f>野手基礎能力!F19</f>
        <v>0</v>
      </c>
      <c r="F5">
        <f>野手基礎能力!G19</f>
        <v>0</v>
      </c>
      <c r="G5">
        <f>野手基礎能力!H19</f>
        <v>0</v>
      </c>
    </row>
    <row r="6" spans="1:7" x14ac:dyDescent="0.15">
      <c r="A6" t="str">
        <f>野手基礎能力!B20</f>
        <v>E(41～50)</v>
      </c>
      <c r="B6">
        <f>野手基礎能力!C20</f>
        <v>15</v>
      </c>
      <c r="C6">
        <f>野手基礎能力!D20</f>
        <v>0</v>
      </c>
      <c r="D6">
        <f>野手基礎能力!E20</f>
        <v>5</v>
      </c>
      <c r="E6">
        <f>野手基礎能力!F20</f>
        <v>0</v>
      </c>
      <c r="F6">
        <f>野手基礎能力!G20</f>
        <v>0</v>
      </c>
      <c r="G6">
        <f>野手基礎能力!H20</f>
        <v>42</v>
      </c>
    </row>
    <row r="7" spans="1:7" x14ac:dyDescent="0.15">
      <c r="A7" t="str">
        <f>野手基礎能力!B21</f>
        <v>D(51～60)</v>
      </c>
      <c r="B7">
        <f>野手基礎能力!C21</f>
        <v>18</v>
      </c>
      <c r="C7">
        <f>野手基礎能力!D21</f>
        <v>0</v>
      </c>
      <c r="D7">
        <f>野手基礎能力!E21</f>
        <v>6</v>
      </c>
      <c r="E7">
        <f>野手基礎能力!F21</f>
        <v>0</v>
      </c>
      <c r="F7">
        <f>野手基礎能力!G21</f>
        <v>0</v>
      </c>
      <c r="G7">
        <f>野手基礎能力!H21</f>
        <v>70</v>
      </c>
    </row>
    <row r="8" spans="1:7" x14ac:dyDescent="0.15">
      <c r="A8" t="str">
        <f>野手基礎能力!B22</f>
        <v>C(61～70)</v>
      </c>
      <c r="B8">
        <f>野手基礎能力!C22</f>
        <v>21</v>
      </c>
      <c r="C8">
        <f>野手基礎能力!D22</f>
        <v>0</v>
      </c>
      <c r="D8">
        <f>野手基礎能力!E22</f>
        <v>7</v>
      </c>
      <c r="E8">
        <f>野手基礎能力!F22</f>
        <v>0</v>
      </c>
      <c r="F8">
        <f>野手基礎能力!G22</f>
        <v>0</v>
      </c>
      <c r="G8">
        <f>野手基礎能力!H22</f>
        <v>56</v>
      </c>
    </row>
    <row r="9" spans="1:7" x14ac:dyDescent="0.15">
      <c r="A9" t="str">
        <f>野手基礎能力!B23</f>
        <v>B(71～80)</v>
      </c>
      <c r="B9">
        <f>野手基礎能力!C23</f>
        <v>24</v>
      </c>
      <c r="C9">
        <f>野手基礎能力!D23</f>
        <v>0</v>
      </c>
      <c r="D9">
        <f>野手基礎能力!E23</f>
        <v>8</v>
      </c>
      <c r="E9">
        <f>野手基礎能力!F23</f>
        <v>0</v>
      </c>
      <c r="F9">
        <f>野手基礎能力!G23</f>
        <v>0</v>
      </c>
      <c r="G9">
        <f>野手基礎能力!H23</f>
        <v>56</v>
      </c>
    </row>
    <row r="10" spans="1:7" x14ac:dyDescent="0.15">
      <c r="A10" t="str">
        <f>野手基礎能力!B24</f>
        <v>A(81～90)</v>
      </c>
      <c r="B10">
        <f>野手基礎能力!C24</f>
        <v>27</v>
      </c>
      <c r="C10">
        <f>野手基礎能力!D24</f>
        <v>0</v>
      </c>
      <c r="D10">
        <f>野手基礎能力!E24</f>
        <v>9</v>
      </c>
      <c r="E10">
        <f>野手基礎能力!F24</f>
        <v>0</v>
      </c>
      <c r="F10">
        <f>野手基礎能力!G24</f>
        <v>0</v>
      </c>
      <c r="G10">
        <f>野手基礎能力!H24</f>
        <v>70</v>
      </c>
    </row>
    <row r="11" spans="1:7" x14ac:dyDescent="0.15">
      <c r="A11" t="str">
        <f>野手基礎能力!B25</f>
        <v>S(91～99)</v>
      </c>
      <c r="B11">
        <f>野手基礎能力!C25</f>
        <v>30</v>
      </c>
      <c r="C11">
        <f>野手基礎能力!D25</f>
        <v>0</v>
      </c>
      <c r="D11">
        <f>野手基礎能力!E25</f>
        <v>10</v>
      </c>
      <c r="E11">
        <f>野手基礎能力!F25</f>
        <v>0</v>
      </c>
      <c r="F11">
        <f>野手基礎能力!G25</f>
        <v>0</v>
      </c>
      <c r="G11">
        <f>野手基礎能力!H26</f>
        <v>28</v>
      </c>
    </row>
    <row r="12" spans="1:7" x14ac:dyDescent="0.15">
      <c r="A12" t="str">
        <f>野手基礎能力!B26</f>
        <v>S(100)</v>
      </c>
      <c r="B12">
        <f>野手基礎能力!C26</f>
        <v>90</v>
      </c>
      <c r="C12">
        <f>野手基礎能力!D26</f>
        <v>0</v>
      </c>
      <c r="D12">
        <f>野手基礎能力!E26</f>
        <v>30</v>
      </c>
      <c r="E12">
        <f>野手基礎能力!F26</f>
        <v>0</v>
      </c>
      <c r="F12">
        <f>野手基礎能力!G26</f>
        <v>0</v>
      </c>
      <c r="G12">
        <v>0</v>
      </c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2"/>
  <sheetViews>
    <sheetView workbookViewId="0">
      <selection sqref="A1:XFD1"/>
    </sheetView>
  </sheetViews>
  <sheetFormatPr defaultRowHeight="13.5" x14ac:dyDescent="0.15"/>
  <sheetData>
    <row r="1" spans="1:7" x14ac:dyDescent="0.15">
      <c r="A1" t="s">
        <v>171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172</v>
      </c>
    </row>
    <row r="2" spans="1:7" x14ac:dyDescent="0.15">
      <c r="A2" t="str">
        <f>野手基礎能力!B27</f>
        <v>G(1～10)</v>
      </c>
      <c r="B2">
        <f>野手基礎能力!C27</f>
        <v>1</v>
      </c>
      <c r="C2">
        <f>野手基礎能力!D27</f>
        <v>5</v>
      </c>
      <c r="D2">
        <f>野手基礎能力!E27</f>
        <v>0</v>
      </c>
      <c r="E2">
        <f>野手基礎能力!F27</f>
        <v>0</v>
      </c>
      <c r="F2">
        <f>野手基礎能力!G27</f>
        <v>0</v>
      </c>
      <c r="G2">
        <f>野手基礎能力!H27</f>
        <v>0</v>
      </c>
    </row>
    <row r="3" spans="1:7" x14ac:dyDescent="0.15">
      <c r="A3" t="str">
        <f>野手基礎能力!B28</f>
        <v>G(11～20)</v>
      </c>
      <c r="B3">
        <f>野手基礎能力!C28</f>
        <v>1</v>
      </c>
      <c r="C3">
        <f>野手基礎能力!D28</f>
        <v>7</v>
      </c>
      <c r="D3">
        <f>野手基礎能力!E28</f>
        <v>0</v>
      </c>
      <c r="E3">
        <f>野手基礎能力!F28</f>
        <v>0</v>
      </c>
      <c r="F3">
        <f>野手基礎能力!G28</f>
        <v>0</v>
      </c>
      <c r="G3">
        <f>野手基礎能力!H28</f>
        <v>0</v>
      </c>
    </row>
    <row r="4" spans="1:7" x14ac:dyDescent="0.15">
      <c r="A4" t="str">
        <f>野手基礎能力!B29</f>
        <v>F(21～30)</v>
      </c>
      <c r="B4">
        <f>野手基礎能力!C29</f>
        <v>1</v>
      </c>
      <c r="C4">
        <f>野手基礎能力!D29</f>
        <v>9</v>
      </c>
      <c r="D4">
        <f>野手基礎能力!E29</f>
        <v>0</v>
      </c>
      <c r="E4">
        <f>野手基礎能力!F29</f>
        <v>0</v>
      </c>
      <c r="F4">
        <f>野手基礎能力!G29</f>
        <v>0</v>
      </c>
      <c r="G4">
        <f>野手基礎能力!H29</f>
        <v>0</v>
      </c>
    </row>
    <row r="5" spans="1:7" x14ac:dyDescent="0.15">
      <c r="A5" t="str">
        <f>野手基礎能力!B30</f>
        <v>F(31～40)</v>
      </c>
      <c r="B5">
        <f>野手基礎能力!C30</f>
        <v>2</v>
      </c>
      <c r="C5">
        <f>野手基礎能力!D30</f>
        <v>11</v>
      </c>
      <c r="D5">
        <f>野手基礎能力!E30</f>
        <v>0</v>
      </c>
      <c r="E5">
        <f>野手基礎能力!F30</f>
        <v>0</v>
      </c>
      <c r="F5">
        <f>野手基礎能力!G30</f>
        <v>0</v>
      </c>
      <c r="G5">
        <f>野手基礎能力!H30</f>
        <v>0</v>
      </c>
    </row>
    <row r="6" spans="1:7" x14ac:dyDescent="0.15">
      <c r="A6" t="str">
        <f>野手基礎能力!B31</f>
        <v>E(41～50)</v>
      </c>
      <c r="B6">
        <f>野手基礎能力!C31</f>
        <v>2</v>
      </c>
      <c r="C6">
        <f>野手基礎能力!D31</f>
        <v>13</v>
      </c>
      <c r="D6">
        <f>野手基礎能力!E31</f>
        <v>0</v>
      </c>
      <c r="E6">
        <f>野手基礎能力!F31</f>
        <v>0</v>
      </c>
      <c r="F6">
        <f>野手基礎能力!G31</f>
        <v>0</v>
      </c>
      <c r="G6">
        <f>野手基礎能力!H31</f>
        <v>14</v>
      </c>
    </row>
    <row r="7" spans="1:7" x14ac:dyDescent="0.15">
      <c r="A7" t="str">
        <f>野手基礎能力!B32</f>
        <v>D(51～60)</v>
      </c>
      <c r="B7">
        <f>野手基礎能力!C32</f>
        <v>3</v>
      </c>
      <c r="C7">
        <f>野手基礎能力!D32</f>
        <v>15</v>
      </c>
      <c r="D7">
        <f>野手基礎能力!E32</f>
        <v>0</v>
      </c>
      <c r="E7">
        <f>野手基礎能力!F32</f>
        <v>0</v>
      </c>
      <c r="F7">
        <f>野手基礎能力!G32</f>
        <v>0</v>
      </c>
      <c r="G7">
        <f>野手基礎能力!H32</f>
        <v>28</v>
      </c>
    </row>
    <row r="8" spans="1:7" x14ac:dyDescent="0.15">
      <c r="A8" t="str">
        <f>野手基礎能力!B33</f>
        <v>C(61～70)</v>
      </c>
      <c r="B8">
        <f>野手基礎能力!C33</f>
        <v>3</v>
      </c>
      <c r="C8">
        <f>野手基礎能力!D33</f>
        <v>17</v>
      </c>
      <c r="D8">
        <f>野手基礎能力!E33</f>
        <v>0</v>
      </c>
      <c r="E8">
        <f>野手基礎能力!F33</f>
        <v>0</v>
      </c>
      <c r="F8">
        <f>野手基礎能力!G33</f>
        <v>0</v>
      </c>
      <c r="G8">
        <f>野手基礎能力!H33</f>
        <v>28</v>
      </c>
    </row>
    <row r="9" spans="1:7" x14ac:dyDescent="0.15">
      <c r="A9" t="str">
        <f>野手基礎能力!B34</f>
        <v>B(71～80)</v>
      </c>
      <c r="B9">
        <f>野手基礎能力!C34</f>
        <v>4</v>
      </c>
      <c r="C9">
        <f>野手基礎能力!D34</f>
        <v>19</v>
      </c>
      <c r="D9">
        <f>野手基礎能力!E34</f>
        <v>0</v>
      </c>
      <c r="E9">
        <f>野手基礎能力!F34</f>
        <v>0</v>
      </c>
      <c r="F9">
        <f>野手基礎能力!G34</f>
        <v>0</v>
      </c>
      <c r="G9">
        <f>野手基礎能力!H34</f>
        <v>28</v>
      </c>
    </row>
    <row r="10" spans="1:7" x14ac:dyDescent="0.15">
      <c r="A10" t="str">
        <f>野手基礎能力!B35</f>
        <v>A(81～90)</v>
      </c>
      <c r="B10">
        <f>野手基礎能力!C35</f>
        <v>4</v>
      </c>
      <c r="C10">
        <f>野手基礎能力!D35</f>
        <v>21</v>
      </c>
      <c r="D10">
        <f>野手基礎能力!E35</f>
        <v>0</v>
      </c>
      <c r="E10">
        <f>野手基礎能力!F35</f>
        <v>0</v>
      </c>
      <c r="F10">
        <f>野手基礎能力!G35</f>
        <v>0</v>
      </c>
      <c r="G10">
        <f>野手基礎能力!H35</f>
        <v>28</v>
      </c>
    </row>
    <row r="11" spans="1:7" x14ac:dyDescent="0.15">
      <c r="A11" t="str">
        <f>野手基礎能力!B36</f>
        <v>S(91～99)</v>
      </c>
      <c r="B11">
        <f>野手基礎能力!C36</f>
        <v>5</v>
      </c>
      <c r="C11">
        <f>野手基礎能力!D36</f>
        <v>23</v>
      </c>
      <c r="D11">
        <f>野手基礎能力!E36</f>
        <v>0</v>
      </c>
      <c r="E11">
        <f>野手基礎能力!F36</f>
        <v>0</v>
      </c>
      <c r="F11">
        <f>野手基礎能力!G36</f>
        <v>0</v>
      </c>
      <c r="G11">
        <f>野手基礎能力!H37</f>
        <v>14</v>
      </c>
    </row>
    <row r="12" spans="1:7" x14ac:dyDescent="0.15">
      <c r="A12" t="str">
        <f>野手基礎能力!B37</f>
        <v>S(100)</v>
      </c>
      <c r="B12">
        <f>野手基礎能力!C37</f>
        <v>15</v>
      </c>
      <c r="C12">
        <f>野手基礎能力!D37</f>
        <v>69</v>
      </c>
      <c r="D12">
        <f>野手基礎能力!E37</f>
        <v>0</v>
      </c>
      <c r="E12">
        <f>野手基礎能力!F37</f>
        <v>0</v>
      </c>
      <c r="F12">
        <f>野手基礎能力!G37</f>
        <v>0</v>
      </c>
      <c r="G12"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2"/>
  <sheetViews>
    <sheetView workbookViewId="0">
      <selection sqref="A1:XFD1"/>
    </sheetView>
  </sheetViews>
  <sheetFormatPr defaultRowHeight="13.5" x14ac:dyDescent="0.15"/>
  <sheetData>
    <row r="1" spans="1:7" x14ac:dyDescent="0.15">
      <c r="A1" t="s">
        <v>171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172</v>
      </c>
    </row>
    <row r="2" spans="1:7" x14ac:dyDescent="0.15">
      <c r="A2" t="str">
        <f>野手基礎能力!B38</f>
        <v>G(1～10)</v>
      </c>
      <c r="B2">
        <f>野手基礎能力!C38</f>
        <v>1</v>
      </c>
      <c r="C2">
        <f>野手基礎能力!D38</f>
        <v>1</v>
      </c>
      <c r="D2">
        <f>野手基礎能力!E38</f>
        <v>1</v>
      </c>
      <c r="E2">
        <f>野手基礎能力!F38</f>
        <v>0</v>
      </c>
      <c r="F2">
        <f>野手基礎能力!G38</f>
        <v>0</v>
      </c>
      <c r="G2">
        <f>野手基礎能力!H38</f>
        <v>0</v>
      </c>
    </row>
    <row r="3" spans="1:7" x14ac:dyDescent="0.15">
      <c r="A3" t="str">
        <f>野手基礎能力!B39</f>
        <v>G(11～20)</v>
      </c>
      <c r="B3">
        <f>野手基礎能力!C39</f>
        <v>2</v>
      </c>
      <c r="C3">
        <f>野手基礎能力!D39</f>
        <v>2</v>
      </c>
      <c r="D3">
        <f>野手基礎能力!E39</f>
        <v>2</v>
      </c>
      <c r="E3">
        <f>野手基礎能力!F39</f>
        <v>0</v>
      </c>
      <c r="F3">
        <f>野手基礎能力!G39</f>
        <v>0</v>
      </c>
      <c r="G3">
        <f>野手基礎能力!H39</f>
        <v>0</v>
      </c>
    </row>
    <row r="4" spans="1:7" x14ac:dyDescent="0.15">
      <c r="A4" t="str">
        <f>野手基礎能力!B40</f>
        <v>F(21～30)</v>
      </c>
      <c r="B4">
        <f>野手基礎能力!C40</f>
        <v>3</v>
      </c>
      <c r="C4">
        <f>野手基礎能力!D40</f>
        <v>3</v>
      </c>
      <c r="D4">
        <f>野手基礎能力!E40</f>
        <v>3</v>
      </c>
      <c r="E4">
        <f>野手基礎能力!F40</f>
        <v>0</v>
      </c>
      <c r="F4">
        <f>野手基礎能力!G40</f>
        <v>0</v>
      </c>
      <c r="G4">
        <f>野手基礎能力!H40</f>
        <v>0</v>
      </c>
    </row>
    <row r="5" spans="1:7" x14ac:dyDescent="0.15">
      <c r="A5" t="str">
        <f>野手基礎能力!B41</f>
        <v>F(31～40)</v>
      </c>
      <c r="B5">
        <f>野手基礎能力!C41</f>
        <v>4</v>
      </c>
      <c r="C5">
        <f>野手基礎能力!D41</f>
        <v>4</v>
      </c>
      <c r="D5">
        <f>野手基礎能力!E41</f>
        <v>4</v>
      </c>
      <c r="E5">
        <f>野手基礎能力!F41</f>
        <v>0</v>
      </c>
      <c r="F5">
        <f>野手基礎能力!G41</f>
        <v>0</v>
      </c>
      <c r="G5">
        <f>野手基礎能力!H41</f>
        <v>0</v>
      </c>
    </row>
    <row r="6" spans="1:7" x14ac:dyDescent="0.15">
      <c r="A6" t="str">
        <f>野手基礎能力!B42</f>
        <v>E(41～50)</v>
      </c>
      <c r="B6">
        <f>野手基礎能力!C42</f>
        <v>5</v>
      </c>
      <c r="C6">
        <f>野手基礎能力!D42</f>
        <v>5</v>
      </c>
      <c r="D6">
        <f>野手基礎能力!E42</f>
        <v>5</v>
      </c>
      <c r="E6">
        <f>野手基礎能力!F42</f>
        <v>0</v>
      </c>
      <c r="F6">
        <f>野手基礎能力!G42</f>
        <v>0</v>
      </c>
      <c r="G6">
        <f>野手基礎能力!H42</f>
        <v>14</v>
      </c>
    </row>
    <row r="7" spans="1:7" x14ac:dyDescent="0.15">
      <c r="A7" t="str">
        <f>野手基礎能力!B43</f>
        <v>D(51～60)</v>
      </c>
      <c r="B7">
        <f>野手基礎能力!C43</f>
        <v>6</v>
      </c>
      <c r="C7">
        <f>野手基礎能力!D43</f>
        <v>6</v>
      </c>
      <c r="D7">
        <f>野手基礎能力!E43</f>
        <v>6</v>
      </c>
      <c r="E7">
        <f>野手基礎能力!F43</f>
        <v>0</v>
      </c>
      <c r="F7">
        <f>野手基礎能力!G43</f>
        <v>0</v>
      </c>
      <c r="G7">
        <f>野手基礎能力!H43</f>
        <v>28</v>
      </c>
    </row>
    <row r="8" spans="1:7" x14ac:dyDescent="0.15">
      <c r="A8" t="str">
        <f>野手基礎能力!B44</f>
        <v>C(61～70)</v>
      </c>
      <c r="B8">
        <f>野手基礎能力!C44</f>
        <v>7</v>
      </c>
      <c r="C8">
        <f>野手基礎能力!D44</f>
        <v>7</v>
      </c>
      <c r="D8">
        <f>野手基礎能力!E44</f>
        <v>7</v>
      </c>
      <c r="E8">
        <f>野手基礎能力!F44</f>
        <v>0</v>
      </c>
      <c r="F8">
        <f>野手基礎能力!G44</f>
        <v>0</v>
      </c>
      <c r="G8">
        <f>野手基礎能力!H44</f>
        <v>28</v>
      </c>
    </row>
    <row r="9" spans="1:7" x14ac:dyDescent="0.15">
      <c r="A9" t="str">
        <f>野手基礎能力!B45</f>
        <v>B(71～80)</v>
      </c>
      <c r="B9">
        <f>野手基礎能力!C45</f>
        <v>8</v>
      </c>
      <c r="C9">
        <f>野手基礎能力!D45</f>
        <v>8</v>
      </c>
      <c r="D9">
        <f>野手基礎能力!E45</f>
        <v>8</v>
      </c>
      <c r="E9">
        <f>野手基礎能力!F45</f>
        <v>0</v>
      </c>
      <c r="F9">
        <f>野手基礎能力!G45</f>
        <v>0</v>
      </c>
      <c r="G9">
        <f>野手基礎能力!H45</f>
        <v>28</v>
      </c>
    </row>
    <row r="10" spans="1:7" x14ac:dyDescent="0.15">
      <c r="A10" t="str">
        <f>野手基礎能力!B46</f>
        <v>A(81～90)</v>
      </c>
      <c r="B10">
        <f>野手基礎能力!C46</f>
        <v>9</v>
      </c>
      <c r="C10">
        <f>野手基礎能力!D46</f>
        <v>9</v>
      </c>
      <c r="D10">
        <f>野手基礎能力!E46</f>
        <v>9</v>
      </c>
      <c r="E10">
        <f>野手基礎能力!F46</f>
        <v>0</v>
      </c>
      <c r="F10">
        <f>野手基礎能力!G46</f>
        <v>0</v>
      </c>
      <c r="G10">
        <f>野手基礎能力!H46</f>
        <v>28</v>
      </c>
    </row>
    <row r="11" spans="1:7" x14ac:dyDescent="0.15">
      <c r="A11" t="str">
        <f>野手基礎能力!B47</f>
        <v>S(91～99)</v>
      </c>
      <c r="B11">
        <f>野手基礎能力!C47</f>
        <v>10</v>
      </c>
      <c r="C11">
        <f>野手基礎能力!D47</f>
        <v>10</v>
      </c>
      <c r="D11">
        <f>野手基礎能力!E47</f>
        <v>10</v>
      </c>
      <c r="E11">
        <f>野手基礎能力!F47</f>
        <v>0</v>
      </c>
      <c r="F11">
        <f>野手基礎能力!G47</f>
        <v>0</v>
      </c>
      <c r="G11">
        <f>野手基礎能力!H48</f>
        <v>14</v>
      </c>
    </row>
    <row r="12" spans="1:7" x14ac:dyDescent="0.15">
      <c r="A12" t="str">
        <f>野手基礎能力!B48</f>
        <v>S(100)</v>
      </c>
      <c r="B12">
        <f>野手基礎能力!C48</f>
        <v>30</v>
      </c>
      <c r="C12">
        <f>野手基礎能力!D48</f>
        <v>30</v>
      </c>
      <c r="D12">
        <f>野手基礎能力!E48</f>
        <v>30</v>
      </c>
      <c r="E12">
        <f>野手基礎能力!F48</f>
        <v>0</v>
      </c>
      <c r="F12">
        <f>野手基礎能力!G48</f>
        <v>0</v>
      </c>
      <c r="G12">
        <v>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2"/>
  <sheetViews>
    <sheetView workbookViewId="0">
      <selection sqref="A1:XFD1"/>
    </sheetView>
  </sheetViews>
  <sheetFormatPr defaultRowHeight="13.5" x14ac:dyDescent="0.15"/>
  <sheetData>
    <row r="1" spans="1:7" x14ac:dyDescent="0.15">
      <c r="A1" t="s">
        <v>171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172</v>
      </c>
    </row>
    <row r="2" spans="1:7" x14ac:dyDescent="0.15">
      <c r="A2" t="str">
        <f>野手基礎能力!B49</f>
        <v>G(1～10)</v>
      </c>
      <c r="B2">
        <f>野手基礎能力!C49</f>
        <v>0</v>
      </c>
      <c r="C2">
        <f>野手基礎能力!D49</f>
        <v>1</v>
      </c>
      <c r="D2">
        <f>野手基礎能力!E49</f>
        <v>1</v>
      </c>
      <c r="E2">
        <f>野手基礎能力!F49</f>
        <v>0</v>
      </c>
      <c r="F2">
        <f>野手基礎能力!G49</f>
        <v>1</v>
      </c>
      <c r="G2">
        <f>野手基礎能力!H49</f>
        <v>0</v>
      </c>
    </row>
    <row r="3" spans="1:7" x14ac:dyDescent="0.15">
      <c r="A3" t="str">
        <f>野手基礎能力!B50</f>
        <v>G(11～20)</v>
      </c>
      <c r="B3">
        <f>野手基礎能力!C50</f>
        <v>0</v>
      </c>
      <c r="C3">
        <f>野手基礎能力!D50</f>
        <v>2</v>
      </c>
      <c r="D3">
        <f>野手基礎能力!E50</f>
        <v>2</v>
      </c>
      <c r="E3">
        <f>野手基礎能力!F50</f>
        <v>0</v>
      </c>
      <c r="F3">
        <f>野手基礎能力!G50</f>
        <v>2</v>
      </c>
      <c r="G3">
        <f>野手基礎能力!H50</f>
        <v>0</v>
      </c>
    </row>
    <row r="4" spans="1:7" x14ac:dyDescent="0.15">
      <c r="A4" t="str">
        <f>野手基礎能力!B51</f>
        <v>F(21～30)</v>
      </c>
      <c r="B4">
        <f>野手基礎能力!C51</f>
        <v>0</v>
      </c>
      <c r="C4">
        <f>野手基礎能力!D51</f>
        <v>3</v>
      </c>
      <c r="D4">
        <f>野手基礎能力!E51</f>
        <v>3</v>
      </c>
      <c r="E4">
        <f>野手基礎能力!F51</f>
        <v>0</v>
      </c>
      <c r="F4">
        <f>野手基礎能力!G51</f>
        <v>3</v>
      </c>
      <c r="G4">
        <f>野手基礎能力!H51</f>
        <v>0</v>
      </c>
    </row>
    <row r="5" spans="1:7" x14ac:dyDescent="0.15">
      <c r="A5" t="str">
        <f>野手基礎能力!B52</f>
        <v>F(31～40)</v>
      </c>
      <c r="B5">
        <f>野手基礎能力!C52</f>
        <v>0</v>
      </c>
      <c r="C5">
        <f>野手基礎能力!D52</f>
        <v>4</v>
      </c>
      <c r="D5">
        <f>野手基礎能力!E52</f>
        <v>4</v>
      </c>
      <c r="E5">
        <f>野手基礎能力!F52</f>
        <v>0</v>
      </c>
      <c r="F5">
        <f>野手基礎能力!G52</f>
        <v>4</v>
      </c>
      <c r="G5">
        <f>野手基礎能力!H52</f>
        <v>0</v>
      </c>
    </row>
    <row r="6" spans="1:7" x14ac:dyDescent="0.15">
      <c r="A6" t="str">
        <f>野手基礎能力!B53</f>
        <v>E(41～50)</v>
      </c>
      <c r="B6">
        <f>野手基礎能力!C53</f>
        <v>0</v>
      </c>
      <c r="C6">
        <f>野手基礎能力!D53</f>
        <v>5</v>
      </c>
      <c r="D6">
        <f>野手基礎能力!E53</f>
        <v>5</v>
      </c>
      <c r="E6">
        <f>野手基礎能力!F53</f>
        <v>0</v>
      </c>
      <c r="F6">
        <f>野手基礎能力!G53</f>
        <v>5</v>
      </c>
      <c r="G6">
        <f>野手基礎能力!H53</f>
        <v>14</v>
      </c>
    </row>
    <row r="7" spans="1:7" x14ac:dyDescent="0.15">
      <c r="A7" t="str">
        <f>野手基礎能力!B54</f>
        <v>D(51～60)</v>
      </c>
      <c r="B7">
        <f>野手基礎能力!C54</f>
        <v>0</v>
      </c>
      <c r="C7">
        <f>野手基礎能力!D54</f>
        <v>6</v>
      </c>
      <c r="D7">
        <f>野手基礎能力!E54</f>
        <v>6</v>
      </c>
      <c r="E7">
        <f>野手基礎能力!F54</f>
        <v>0</v>
      </c>
      <c r="F7">
        <f>野手基礎能力!G54</f>
        <v>6</v>
      </c>
      <c r="G7">
        <f>野手基礎能力!H54</f>
        <v>28</v>
      </c>
    </row>
    <row r="8" spans="1:7" x14ac:dyDescent="0.15">
      <c r="A8" t="str">
        <f>野手基礎能力!B55</f>
        <v>C(61～70)</v>
      </c>
      <c r="B8">
        <f>野手基礎能力!C55</f>
        <v>0</v>
      </c>
      <c r="C8">
        <f>野手基礎能力!D55</f>
        <v>7</v>
      </c>
      <c r="D8">
        <f>野手基礎能力!E55</f>
        <v>7</v>
      </c>
      <c r="E8">
        <f>野手基礎能力!F55</f>
        <v>0</v>
      </c>
      <c r="F8">
        <f>野手基礎能力!G55</f>
        <v>7</v>
      </c>
      <c r="G8">
        <f>野手基礎能力!H55</f>
        <v>28</v>
      </c>
    </row>
    <row r="9" spans="1:7" x14ac:dyDescent="0.15">
      <c r="A9" t="str">
        <f>野手基礎能力!B56</f>
        <v>B(71～80)</v>
      </c>
      <c r="B9">
        <f>野手基礎能力!C56</f>
        <v>0</v>
      </c>
      <c r="C9">
        <f>野手基礎能力!D56</f>
        <v>8</v>
      </c>
      <c r="D9">
        <f>野手基礎能力!E56</f>
        <v>8</v>
      </c>
      <c r="E9">
        <f>野手基礎能力!F56</f>
        <v>0</v>
      </c>
      <c r="F9">
        <f>野手基礎能力!G56</f>
        <v>8</v>
      </c>
      <c r="G9">
        <f>野手基礎能力!H56</f>
        <v>28</v>
      </c>
    </row>
    <row r="10" spans="1:7" x14ac:dyDescent="0.15">
      <c r="A10" t="str">
        <f>野手基礎能力!B57</f>
        <v>A(81～90)</v>
      </c>
      <c r="B10">
        <f>野手基礎能力!C57</f>
        <v>0</v>
      </c>
      <c r="C10">
        <f>野手基礎能力!D57</f>
        <v>9</v>
      </c>
      <c r="D10">
        <f>野手基礎能力!E57</f>
        <v>9</v>
      </c>
      <c r="E10">
        <f>野手基礎能力!F57</f>
        <v>0</v>
      </c>
      <c r="F10">
        <f>野手基礎能力!G57</f>
        <v>9</v>
      </c>
      <c r="G10">
        <f>野手基礎能力!H57</f>
        <v>28</v>
      </c>
    </row>
    <row r="11" spans="1:7" x14ac:dyDescent="0.15">
      <c r="A11" t="str">
        <f>野手基礎能力!B58</f>
        <v>S(91～99)</v>
      </c>
      <c r="B11">
        <f>野手基礎能力!C58</f>
        <v>0</v>
      </c>
      <c r="C11">
        <f>野手基礎能力!D58</f>
        <v>10</v>
      </c>
      <c r="D11">
        <f>野手基礎能力!E58</f>
        <v>10</v>
      </c>
      <c r="E11">
        <f>野手基礎能力!F58</f>
        <v>0</v>
      </c>
      <c r="F11">
        <f>野手基礎能力!G58</f>
        <v>10</v>
      </c>
      <c r="G11">
        <f>野手基礎能力!H59</f>
        <v>14</v>
      </c>
    </row>
    <row r="12" spans="1:7" x14ac:dyDescent="0.15">
      <c r="A12" t="str">
        <f>野手基礎能力!B59</f>
        <v>S(100)</v>
      </c>
      <c r="B12">
        <f>野手基礎能力!C59</f>
        <v>0</v>
      </c>
      <c r="C12">
        <f>野手基礎能力!D59</f>
        <v>30</v>
      </c>
      <c r="D12">
        <f>野手基礎能力!E59</f>
        <v>30</v>
      </c>
      <c r="E12">
        <f>野手基礎能力!F59</f>
        <v>0</v>
      </c>
      <c r="F12">
        <f>野手基礎能力!G59</f>
        <v>30</v>
      </c>
      <c r="G12"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2"/>
  <sheetViews>
    <sheetView workbookViewId="0">
      <selection sqref="A1:XFD1"/>
    </sheetView>
  </sheetViews>
  <sheetFormatPr defaultRowHeight="13.5" x14ac:dyDescent="0.15"/>
  <sheetData>
    <row r="1" spans="1:7" x14ac:dyDescent="0.15">
      <c r="A1" t="s">
        <v>171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172</v>
      </c>
    </row>
    <row r="2" spans="1:7" x14ac:dyDescent="0.15">
      <c r="A2" t="str">
        <f>野手基礎能力!B60</f>
        <v>G(1～10)</v>
      </c>
      <c r="B2">
        <f>野手基礎能力!C60</f>
        <v>0</v>
      </c>
      <c r="C2">
        <f>野手基礎能力!D60</f>
        <v>0</v>
      </c>
      <c r="D2">
        <f>野手基礎能力!E60</f>
        <v>0</v>
      </c>
      <c r="E2">
        <f>野手基礎能力!F60</f>
        <v>0</v>
      </c>
      <c r="F2">
        <f>野手基礎能力!G60</f>
        <v>0</v>
      </c>
      <c r="G2">
        <f>野手基礎能力!H60</f>
        <v>0</v>
      </c>
    </row>
    <row r="3" spans="1:7" x14ac:dyDescent="0.15">
      <c r="A3" t="str">
        <f>野手基礎能力!B61</f>
        <v>G(11～20)</v>
      </c>
      <c r="B3">
        <f>野手基礎能力!C61</f>
        <v>0</v>
      </c>
      <c r="C3">
        <f>野手基礎能力!D61</f>
        <v>1</v>
      </c>
      <c r="D3">
        <f>野手基礎能力!E61</f>
        <v>0</v>
      </c>
      <c r="E3">
        <f>野手基礎能力!F61</f>
        <v>0</v>
      </c>
      <c r="F3">
        <f>野手基礎能力!G61</f>
        <v>4</v>
      </c>
      <c r="G3">
        <f>野手基礎能力!H61</f>
        <v>0</v>
      </c>
    </row>
    <row r="4" spans="1:7" x14ac:dyDescent="0.15">
      <c r="A4" t="str">
        <f>野手基礎能力!B62</f>
        <v>F(21～30)</v>
      </c>
      <c r="B4">
        <f>野手基礎能力!C62</f>
        <v>0</v>
      </c>
      <c r="C4">
        <f>野手基礎能力!D62</f>
        <v>2</v>
      </c>
      <c r="D4">
        <f>野手基礎能力!E62</f>
        <v>0</v>
      </c>
      <c r="E4">
        <f>野手基礎能力!F62</f>
        <v>0</v>
      </c>
      <c r="F4">
        <f>野手基礎能力!G62</f>
        <v>6</v>
      </c>
      <c r="G4">
        <f>野手基礎能力!H62</f>
        <v>0</v>
      </c>
    </row>
    <row r="5" spans="1:7" x14ac:dyDescent="0.15">
      <c r="A5" t="str">
        <f>野手基礎能力!B63</f>
        <v>F(31～40)</v>
      </c>
      <c r="B5">
        <f>野手基礎能力!C63</f>
        <v>0</v>
      </c>
      <c r="C5">
        <f>野手基礎能力!D63</f>
        <v>2</v>
      </c>
      <c r="D5">
        <f>野手基礎能力!E63</f>
        <v>0</v>
      </c>
      <c r="E5">
        <f>野手基礎能力!F63</f>
        <v>0</v>
      </c>
      <c r="F5">
        <f>野手基礎能力!G63</f>
        <v>7</v>
      </c>
      <c r="G5">
        <f>野手基礎能力!H63</f>
        <v>0</v>
      </c>
    </row>
    <row r="6" spans="1:7" x14ac:dyDescent="0.15">
      <c r="A6" t="str">
        <f>野手基礎能力!B64</f>
        <v>E(41～50)</v>
      </c>
      <c r="B6">
        <f>野手基礎能力!C64</f>
        <v>0</v>
      </c>
      <c r="C6">
        <f>野手基礎能力!D64</f>
        <v>3</v>
      </c>
      <c r="D6">
        <f>野手基礎能力!E64</f>
        <v>0</v>
      </c>
      <c r="E6">
        <f>野手基礎能力!F64</f>
        <v>0</v>
      </c>
      <c r="F6">
        <f>野手基礎能力!G64</f>
        <v>9</v>
      </c>
      <c r="G6">
        <f>野手基礎能力!H64</f>
        <v>14</v>
      </c>
    </row>
    <row r="7" spans="1:7" x14ac:dyDescent="0.15">
      <c r="A7" t="str">
        <f>野手基礎能力!B65</f>
        <v>D(51～60)</v>
      </c>
      <c r="B7">
        <f>野手基礎能力!C65</f>
        <v>0</v>
      </c>
      <c r="C7">
        <f>野手基礎能力!D65</f>
        <v>3</v>
      </c>
      <c r="D7">
        <f>野手基礎能力!E65</f>
        <v>0</v>
      </c>
      <c r="E7">
        <f>野手基礎能力!F65</f>
        <v>0</v>
      </c>
      <c r="F7">
        <f>野手基礎能力!G65</f>
        <v>10</v>
      </c>
      <c r="G7">
        <f>野手基礎能力!H65</f>
        <v>0</v>
      </c>
    </row>
    <row r="8" spans="1:7" x14ac:dyDescent="0.15">
      <c r="A8" t="str">
        <f>野手基礎能力!B66</f>
        <v>C(61～70)</v>
      </c>
      <c r="B8">
        <f>野手基礎能力!C66</f>
        <v>0</v>
      </c>
      <c r="C8">
        <f>野手基礎能力!D66</f>
        <v>4</v>
      </c>
      <c r="D8">
        <f>野手基礎能力!E66</f>
        <v>0</v>
      </c>
      <c r="E8">
        <f>野手基礎能力!F66</f>
        <v>0</v>
      </c>
      <c r="F8">
        <f>野手基礎能力!G66</f>
        <v>12</v>
      </c>
      <c r="G8">
        <f>野手基礎能力!H66</f>
        <v>28</v>
      </c>
    </row>
    <row r="9" spans="1:7" x14ac:dyDescent="0.15">
      <c r="A9" t="str">
        <f>野手基礎能力!B67</f>
        <v>B(71～80)</v>
      </c>
      <c r="B9">
        <f>野手基礎能力!C67</f>
        <v>0</v>
      </c>
      <c r="C9">
        <f>野手基礎能力!D67</f>
        <v>4</v>
      </c>
      <c r="D9">
        <f>野手基礎能力!E67</f>
        <v>0</v>
      </c>
      <c r="E9">
        <f>野手基礎能力!F67</f>
        <v>0</v>
      </c>
      <c r="F9">
        <f>野手基礎能力!G67</f>
        <v>13</v>
      </c>
      <c r="G9">
        <f>野手基礎能力!H67</f>
        <v>0</v>
      </c>
    </row>
    <row r="10" spans="1:7" x14ac:dyDescent="0.15">
      <c r="A10" t="str">
        <f>野手基礎能力!B68</f>
        <v>A(81～90)</v>
      </c>
      <c r="B10">
        <f>野手基礎能力!C68</f>
        <v>0</v>
      </c>
      <c r="C10">
        <f>野手基礎能力!D68</f>
        <v>5</v>
      </c>
      <c r="D10">
        <f>野手基礎能力!E68</f>
        <v>0</v>
      </c>
      <c r="E10">
        <f>野手基礎能力!F68</f>
        <v>0</v>
      </c>
      <c r="F10">
        <f>野手基礎能力!G68</f>
        <v>15</v>
      </c>
      <c r="G10">
        <f>野手基礎能力!H68</f>
        <v>14</v>
      </c>
    </row>
    <row r="11" spans="1:7" x14ac:dyDescent="0.15">
      <c r="A11" t="str">
        <f>野手基礎能力!B69</f>
        <v>S(91～99)</v>
      </c>
      <c r="B11">
        <f>野手基礎能力!C69</f>
        <v>0</v>
      </c>
      <c r="C11">
        <f>野手基礎能力!D69</f>
        <v>5</v>
      </c>
      <c r="D11">
        <f>野手基礎能力!E69</f>
        <v>0</v>
      </c>
      <c r="E11">
        <f>野手基礎能力!F69</f>
        <v>0</v>
      </c>
      <c r="F11">
        <f>野手基礎能力!G69</f>
        <v>16</v>
      </c>
      <c r="G11">
        <f>野手基礎能力!H69</f>
        <v>0</v>
      </c>
    </row>
    <row r="12" spans="1:7" x14ac:dyDescent="0.15">
      <c r="A12" t="str">
        <f>野手基礎能力!B70</f>
        <v>S(100)</v>
      </c>
      <c r="B12">
        <f>野手基礎能力!C70</f>
        <v>0</v>
      </c>
      <c r="C12">
        <f>野手基礎能力!D70</f>
        <v>15</v>
      </c>
      <c r="D12">
        <f>野手基礎能力!E70</f>
        <v>0</v>
      </c>
      <c r="E12">
        <f>野手基礎能力!F70</f>
        <v>0</v>
      </c>
      <c r="F12">
        <f>野手基礎能力!G70</f>
        <v>45</v>
      </c>
      <c r="G12">
        <f>野手基礎能力!H70</f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野手基礎能力</vt:lpstr>
      <vt:lpstr>BATTER_ABILITY_DETAIL</vt:lpstr>
      <vt:lpstr>BATTER_ABILITY_HEADER</vt:lpstr>
      <vt:lpstr>サブポジ</vt:lpstr>
      <vt:lpstr>弾道</vt:lpstr>
      <vt:lpstr>ミート</vt:lpstr>
      <vt:lpstr>パワー</vt:lpstr>
      <vt:lpstr>走力</vt:lpstr>
      <vt:lpstr>肩力</vt:lpstr>
      <vt:lpstr>守力</vt:lpstr>
      <vt:lpstr>捕球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2016-12-02T12:40:53Z</dcterms:modified>
</cp:coreProperties>
</file>